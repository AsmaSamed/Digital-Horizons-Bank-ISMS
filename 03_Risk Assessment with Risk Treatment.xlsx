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F:\Semester7Assignements\ISMS Lab\المشروع\New folder\Malak Aldahoomah_Github\"/>
    </mc:Choice>
  </mc:AlternateContent>
  <xr:revisionPtr revIDLastSave="0" documentId="13_ncr:1_{07B1E6EC-E3FD-4001-BAE8-C93E29031FA5}" xr6:coauthVersionLast="47" xr6:coauthVersionMax="47" xr10:uidLastSave="{00000000-0000-0000-0000-000000000000}"/>
  <bookViews>
    <workbookView xWindow="-108" yWindow="-108" windowWidth="23256" windowHeight="12456" tabRatio="845" xr2:uid="{00000000-000D-0000-FFFF-FFFF00000000}"/>
  </bookViews>
  <sheets>
    <sheet name="Guidance" sheetId="46" r:id="rId1"/>
    <sheet name="Assessment Details" sheetId="47" r:id="rId2"/>
    <sheet name="Risk Assessment" sheetId="8" r:id="rId3"/>
    <sheet name="Dashboard" sheetId="33" r:id="rId4"/>
    <sheet name="Pre-treatment risks" sheetId="34" state="hidden" r:id="rId5"/>
    <sheet name="Pre-treat risk levels by owner" sheetId="35" state="hidden" r:id="rId6"/>
    <sheet name="Post-treatment risks" sheetId="36" state="hidden" r:id="rId7"/>
    <sheet name="Risks by risk level pre &amp; post" sheetId="37" state="hidden" r:id="rId8"/>
    <sheet name="Treatment option chosen" sheetId="38" state="hidden" r:id="rId9"/>
    <sheet name="Treatment cost " sheetId="39" state="hidden" r:id="rId10"/>
    <sheet name="Treatment action owner " sheetId="40" state="hidden" r:id="rId11"/>
    <sheet name="Reference Controls" sheetId="32" r:id="rId12"/>
    <sheet name="Example ATV Risks" sheetId="43" r:id="rId13"/>
    <sheet name="Example Assets" sheetId="44" r:id="rId14"/>
    <sheet name="Example Threats" sheetId="45" r:id="rId15"/>
    <sheet name="Likelihood" sheetId="13" r:id="rId16"/>
    <sheet name="Impact" sheetId="14" r:id="rId17"/>
    <sheet name="Selection Tables" sheetId="4" state="hidden" r:id="rId18"/>
    <sheet name="Pivot tables" sheetId="27" state="hidden" r:id="rId19"/>
  </sheets>
  <externalReferences>
    <externalReference r:id="rId20"/>
  </externalReferences>
  <definedNames>
    <definedName name="NoRisksPre" localSheetId="3">#REF!</definedName>
    <definedName name="NoRisksPre">'Pivot tables'!$R$10</definedName>
    <definedName name="_xlnm.Print_Area" localSheetId="0">Guidance!$B$2:$B$26</definedName>
    <definedName name="_xlnm.Print_Area" localSheetId="11">'Reference Controls'!$A$1:$D$263</definedName>
    <definedName name="_xlnm.Print_Area" localSheetId="2">'Risk Assessment'!$A$1:$AD$33</definedName>
    <definedName name="_xlnm.Print_Titles" localSheetId="13">'Example Assets'!$12:$12</definedName>
    <definedName name="_xlnm.Print_Titles" localSheetId="12">'Example ATV Risks'!$12:$12</definedName>
    <definedName name="_xlnm.Print_Titles" localSheetId="11">'Reference Controls'!$11:$11</definedName>
    <definedName name="_xlnm.Print_Titles" localSheetId="2">'Risk Assessment'!$B:$H,'Risk Assessment'!$12:$13</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9"/>
  <pivotCaches>
    <pivotCache cacheId="0" r:id="rId21"/>
    <pivotCache cacheId="1" r:id="rId22"/>
    <pivotCache cacheId="2" r:id="rId23"/>
    <pivotCache cacheId="3" r:id="rId2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5"/>
        <x14:slicerCache r:id="rId26"/>
        <x14:slicerCache r:id="rId27"/>
        <x14:slicerCache r:id="rId28"/>
        <x14:slicerCache r:id="rId29"/>
        <x14:slicerCache r:id="rId3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4" i="8" l="1"/>
  <c r="N15" i="8"/>
  <c r="N16" i="8"/>
  <c r="N17" i="8"/>
  <c r="N18" i="8"/>
  <c r="O18" i="8" s="1"/>
  <c r="N19" i="8"/>
  <c r="O19" i="8" s="1"/>
  <c r="N20" i="8"/>
  <c r="O20" i="8" s="1"/>
  <c r="N21" i="8"/>
  <c r="O21" i="8" s="1"/>
  <c r="N22" i="8"/>
  <c r="O22" i="8" s="1"/>
  <c r="N23" i="8"/>
  <c r="N24" i="8"/>
  <c r="O24" i="8" s="1"/>
  <c r="N25" i="8"/>
  <c r="N26" i="8"/>
  <c r="O26" i="8" s="1"/>
  <c r="N27" i="8"/>
  <c r="O27" i="8" s="1"/>
  <c r="N28" i="8"/>
  <c r="O28" i="8" s="1"/>
  <c r="N29" i="8"/>
  <c r="O29" i="8" s="1"/>
  <c r="N30" i="8"/>
  <c r="O30" i="8" s="1"/>
  <c r="N31" i="8"/>
  <c r="O31" i="8" s="1"/>
  <c r="N32" i="8"/>
  <c r="O32" i="8" s="1"/>
  <c r="N33" i="8"/>
  <c r="O33" i="8" s="1"/>
  <c r="AB14" i="8"/>
  <c r="AB15" i="8"/>
  <c r="AB16" i="8"/>
  <c r="AB17" i="8"/>
  <c r="AC17" i="8" s="1"/>
  <c r="AB18" i="8"/>
  <c r="AB19" i="8"/>
  <c r="AC19" i="8" s="1"/>
  <c r="AB20" i="8"/>
  <c r="AC20" i="8" s="1"/>
  <c r="AB21" i="8"/>
  <c r="AC21" i="8" s="1"/>
  <c r="AB22" i="8"/>
  <c r="AC22" i="8" s="1"/>
  <c r="AB23" i="8"/>
  <c r="AC23" i="8" s="1"/>
  <c r="AB24" i="8"/>
  <c r="AC24" i="8" s="1"/>
  <c r="AB25" i="8"/>
  <c r="AC25" i="8" s="1"/>
  <c r="AB26" i="8"/>
  <c r="AC26" i="8" s="1"/>
  <c r="AB27" i="8"/>
  <c r="AC27" i="8" s="1"/>
  <c r="AB28" i="8"/>
  <c r="AC28" i="8" s="1"/>
  <c r="AB29" i="8"/>
  <c r="AB30" i="8"/>
  <c r="AC30" i="8" s="1"/>
  <c r="AB31" i="8"/>
  <c r="AC31" i="8" s="1"/>
  <c r="AB32" i="8"/>
  <c r="AC32" i="8" s="1"/>
  <c r="AB33" i="8"/>
  <c r="AC33" i="8" s="1"/>
  <c r="O25" i="8"/>
  <c r="O23" i="8"/>
  <c r="AC18" i="8"/>
  <c r="O17" i="8"/>
  <c r="AC29" i="8"/>
  <c r="Z63" i="33" l="1" a="1"/>
  <c r="Z63" i="33" s="1"/>
  <c r="Z64" i="33" a="1"/>
  <c r="Z64" i="33" s="1"/>
  <c r="Z65" i="33" a="1"/>
  <c r="Z65" i="33" s="1"/>
  <c r="Z66" i="33" a="1"/>
  <c r="Z66" i="33" s="1"/>
  <c r="Z62" i="33" a="1"/>
  <c r="Z62" i="33" s="1"/>
  <c r="Y63" i="33" a="1"/>
  <c r="Y63" i="33" s="1"/>
  <c r="Y64" i="33" a="1"/>
  <c r="Y64" i="33" s="1"/>
  <c r="Y65" i="33" a="1"/>
  <c r="Y65" i="33" s="1"/>
  <c r="Y66" i="33" a="1"/>
  <c r="Y66" i="33" s="1"/>
  <c r="Y62" i="33" a="1"/>
  <c r="Y62" i="33" s="1"/>
  <c r="X63" i="33" a="1"/>
  <c r="X63" i="33" s="1"/>
  <c r="X64" i="33" a="1"/>
  <c r="X64" i="33" s="1"/>
  <c r="X65" i="33" a="1"/>
  <c r="X65" i="33" s="1"/>
  <c r="X66" i="33" a="1"/>
  <c r="X66" i="33" s="1"/>
  <c r="X62" i="33" a="1"/>
  <c r="X62" i="33" s="1"/>
  <c r="W63" i="33" a="1"/>
  <c r="W63" i="33" s="1"/>
  <c r="W64" i="33" a="1"/>
  <c r="W64" i="33" s="1"/>
  <c r="W65" i="33" a="1"/>
  <c r="W65" i="33" s="1"/>
  <c r="W66" i="33" a="1"/>
  <c r="W66" i="33" s="1"/>
  <c r="W62" i="33" a="1"/>
  <c r="W62" i="33" s="1"/>
  <c r="V63" i="33" a="1"/>
  <c r="V63" i="33" s="1"/>
  <c r="V64" i="33" a="1"/>
  <c r="V64" i="33" s="1"/>
  <c r="V65" i="33" a="1"/>
  <c r="V65" i="33" s="1"/>
  <c r="V66" i="33" a="1"/>
  <c r="V66" i="33" s="1"/>
  <c r="V62" i="33" a="1"/>
  <c r="V62" i="33" s="1"/>
  <c r="R63" i="33" a="1"/>
  <c r="R63" i="33" s="1"/>
  <c r="R64" i="33" a="1"/>
  <c r="R64" i="33" s="1"/>
  <c r="R65" i="33" a="1"/>
  <c r="R65" i="33" s="1"/>
  <c r="R66" i="33" a="1"/>
  <c r="R66" i="33" s="1"/>
  <c r="R62" i="33" a="1"/>
  <c r="R62" i="33" s="1"/>
  <c r="Q63" i="33" a="1"/>
  <c r="Q63" i="33" s="1"/>
  <c r="Q64" i="33" a="1"/>
  <c r="Q64" i="33" s="1"/>
  <c r="Q65" i="33" a="1"/>
  <c r="Q65" i="33" s="1"/>
  <c r="Q66" i="33" a="1"/>
  <c r="Q66" i="33" s="1"/>
  <c r="Q62" i="33" a="1"/>
  <c r="Q62" i="33" s="1"/>
  <c r="P63" i="33" a="1"/>
  <c r="P63" i="33" s="1"/>
  <c r="P64" i="33" a="1"/>
  <c r="P64" i="33" s="1"/>
  <c r="P65" i="33" a="1"/>
  <c r="P65" i="33" s="1"/>
  <c r="P66" i="33" a="1"/>
  <c r="P66" i="33" s="1"/>
  <c r="P62" i="33" a="1"/>
  <c r="P62" i="33" s="1"/>
  <c r="O63" i="33" a="1"/>
  <c r="O63" i="33" s="1"/>
  <c r="O64" i="33" a="1"/>
  <c r="O64" i="33" s="1"/>
  <c r="O65" i="33" a="1"/>
  <c r="O65" i="33" s="1"/>
  <c r="O66" i="33" a="1"/>
  <c r="O66" i="33" s="1"/>
  <c r="O62" i="33" a="1"/>
  <c r="O62" i="33" s="1"/>
  <c r="N63" i="33" a="1"/>
  <c r="N63" i="33" s="1"/>
  <c r="N64" i="33" a="1"/>
  <c r="N64" i="33" s="1"/>
  <c r="N65" i="33" a="1"/>
  <c r="N65" i="33" s="1"/>
  <c r="N66" i="33" a="1"/>
  <c r="N66" i="33" s="1"/>
  <c r="N62" i="33" a="1"/>
  <c r="N62" i="33" s="1"/>
  <c r="O14" i="8" l="1"/>
  <c r="AC14" i="8" l="1"/>
  <c r="AC16" i="8"/>
  <c r="AC15" i="8" l="1"/>
  <c r="D9" i="37" l="1"/>
  <c r="D7" i="37"/>
  <c r="D8" i="37"/>
  <c r="C9" i="36"/>
  <c r="C7" i="36"/>
  <c r="C8" i="36"/>
  <c r="T11" i="27"/>
  <c r="T9" i="27"/>
  <c r="T10" i="27"/>
  <c r="O16" i="8" l="1"/>
  <c r="O15" i="8"/>
  <c r="C9" i="37" l="1"/>
  <c r="C8" i="37"/>
  <c r="C7" i="37"/>
  <c r="C9" i="34" l="1"/>
  <c r="C8" i="34"/>
  <c r="C7" i="34"/>
  <c r="S10" i="27"/>
  <c r="S11" i="27"/>
  <c r="S9"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Mark Clifton</author>
  </authors>
  <commentList>
    <comment ref="B12" authorId="0" shapeId="0" xr:uid="{38FA1EEA-3F67-40DE-B048-B27F26A95C96}">
      <text>
        <r>
          <rPr>
            <b/>
            <sz val="9"/>
            <color indexed="81"/>
            <rFont val="Tahoma"/>
            <family val="2"/>
          </rPr>
          <t>This section describes the nature of the risk and, as required by the ISO27001 standard, the risk owner.</t>
        </r>
      </text>
    </comment>
    <comment ref="I12" authorId="0" shapeId="0" xr:uid="{943B046B-31BE-4FF4-BCAA-EF33BDE1213A}">
      <text>
        <r>
          <rPr>
            <b/>
            <sz val="9"/>
            <color indexed="81"/>
            <rFont val="Tahoma"/>
            <family val="2"/>
          </rPr>
          <t>This is an assessment of the level of current risk, taking into account any controls already in place to address it.</t>
        </r>
      </text>
    </comment>
    <comment ref="P12" authorId="0" shapeId="0" xr:uid="{3E5710F8-87FD-4D0D-99F9-8ED1224DEFFB}">
      <text>
        <r>
          <rPr>
            <b/>
            <sz val="9"/>
            <color indexed="81"/>
            <rFont val="Tahoma"/>
            <family val="2"/>
          </rPr>
          <t>For those risks that are not accepted, a plan must be in place to take action to address the risk.</t>
        </r>
      </text>
    </comment>
    <comment ref="X12" authorId="0" shapeId="0" xr:uid="{BA793072-F17E-4063-BE48-B22B5BD9B333}">
      <text>
        <r>
          <rPr>
            <b/>
            <sz val="9"/>
            <color indexed="81"/>
            <rFont val="Tahoma"/>
            <family val="2"/>
          </rPr>
          <t>This section is used to assess what the level of risk will be, once the treatment actions have been carried out.</t>
        </r>
      </text>
    </comment>
    <comment ref="B13" authorId="0" shapeId="0" xr:uid="{9E369695-AD9B-46AF-A418-0ECCB87275DF}">
      <text>
        <r>
          <rPr>
            <b/>
            <sz val="9"/>
            <color indexed="81"/>
            <rFont val="Tahoma"/>
            <family val="2"/>
          </rPr>
          <t>Enter a reference number here.</t>
        </r>
      </text>
    </comment>
    <comment ref="C13" authorId="0" shapeId="0" xr:uid="{39F24915-85DE-4418-94CC-3E668FF31DDA}">
      <text>
        <r>
          <rPr>
            <b/>
            <sz val="9"/>
            <color indexed="81"/>
            <rFont val="Tahoma"/>
            <family val="2"/>
          </rPr>
          <t>The logical collection of assets that is under consideration.</t>
        </r>
      </text>
    </comment>
    <comment ref="D13" authorId="0" shapeId="0" xr:uid="{A190CD4F-8CD1-479F-94B7-720951B05F5C}">
      <text>
        <r>
          <rPr>
            <b/>
            <sz val="9"/>
            <color indexed="81"/>
            <rFont val="Tahoma"/>
            <family val="2"/>
          </rPr>
          <t>The individual asset (or sub-group) that is being assessed.</t>
        </r>
      </text>
    </comment>
    <comment ref="E13" authorId="1" shapeId="0" xr:uid="{C89AE5AA-5FC1-49D9-9243-D417C54600D9}">
      <text>
        <r>
          <rPr>
            <b/>
            <sz val="9"/>
            <color indexed="81"/>
            <rFont val="Tahoma"/>
            <family val="2"/>
          </rPr>
          <t>What may happen if the asset's vulnerabilities are exploited by a specific entity.</t>
        </r>
        <r>
          <rPr>
            <sz val="9"/>
            <color indexed="81"/>
            <rFont val="Tahoma"/>
            <family val="2"/>
          </rPr>
          <t xml:space="preserve">
</t>
        </r>
      </text>
    </comment>
    <comment ref="F13" authorId="1" shapeId="0" xr:uid="{13530428-4506-4D5A-9A52-D582DE151050}">
      <text>
        <r>
          <rPr>
            <b/>
            <sz val="9"/>
            <color indexed="81"/>
            <rFont val="Tahoma"/>
            <family val="2"/>
          </rPr>
          <t>A weakness that could be exploited by a threat to expose the asset to compromise.</t>
        </r>
      </text>
    </comment>
    <comment ref="G13" authorId="0" shapeId="0" xr:uid="{C73680CE-3FA5-4802-9004-E80587DA6FD8}">
      <text>
        <r>
          <rPr>
            <b/>
            <sz val="9"/>
            <color indexed="81"/>
            <rFont val="Tahoma"/>
            <family val="2"/>
          </rPr>
          <t>Is this a risk to:
C = Confidentiality
I = Integrity
A = Availability
or a combination of these?</t>
        </r>
      </text>
    </comment>
    <comment ref="H13" authorId="0" shapeId="0" xr:uid="{1FC8833C-8717-4BC7-ACE7-77D991266F9D}">
      <text>
        <r>
          <rPr>
            <b/>
            <sz val="9"/>
            <color indexed="81"/>
            <rFont val="Tahoma"/>
            <family val="2"/>
          </rPr>
          <t>Name of the person responsible for the risk.</t>
        </r>
      </text>
    </comment>
    <comment ref="I13" authorId="0" shapeId="0" xr:uid="{DF1DAA71-BCDE-46D0-AB12-9F4D22407BA9}">
      <text>
        <r>
          <rPr>
            <b/>
            <sz val="9"/>
            <color indexed="81"/>
            <rFont val="Tahoma"/>
            <family val="2"/>
          </rPr>
          <t>Existing controls which could lessen the risk likelihood and/or impact.</t>
        </r>
      </text>
    </comment>
    <comment ref="J13" authorId="0" shapeId="0" xr:uid="{9BEA2735-F655-460A-9033-2698E7DCF981}">
      <text>
        <r>
          <rPr>
            <b/>
            <sz val="9"/>
            <color indexed="81"/>
            <rFont val="Tahoma"/>
            <family val="2"/>
          </rPr>
          <t>Select a score from 1 to 5, where 1 is a low likelihood and 5 is high.</t>
        </r>
      </text>
    </comment>
    <comment ref="K13" authorId="0" shapeId="0" xr:uid="{0B93335F-4954-4831-B874-29834EA6E8FF}">
      <text>
        <r>
          <rPr>
            <b/>
            <sz val="9"/>
            <color indexed="81"/>
            <rFont val="Tahoma"/>
            <family val="2"/>
          </rPr>
          <t>Reasoning for giving that likelihood score.</t>
        </r>
      </text>
    </comment>
    <comment ref="L13" authorId="0" shapeId="0" xr:uid="{4E98DAA8-7283-4D3C-846C-4D6B5439C4E3}">
      <text>
        <r>
          <rPr>
            <b/>
            <sz val="9"/>
            <color indexed="81"/>
            <rFont val="Tahoma"/>
            <family val="2"/>
          </rPr>
          <t>Select a score from 1 to 5, where 1 is low impact and 5 is high.</t>
        </r>
      </text>
    </comment>
    <comment ref="M13" authorId="0" shapeId="0" xr:uid="{4F2D345D-C781-4990-B129-D2E1F7CD2FC3}">
      <text>
        <r>
          <rPr>
            <b/>
            <sz val="9"/>
            <color indexed="81"/>
            <rFont val="Tahoma"/>
            <family val="2"/>
          </rPr>
          <t>Brief explanation of why the impact score was assigned.</t>
        </r>
      </text>
    </comment>
    <comment ref="N13" authorId="0" shapeId="0" xr:uid="{C05F6FB1-B76B-49B8-B880-E5863966EB18}">
      <text>
        <r>
          <rPr>
            <b/>
            <sz val="9"/>
            <color indexed="81"/>
            <rFont val="Tahoma"/>
            <family val="2"/>
          </rPr>
          <t>Risk score of between 1 and 25. This field will be automatically generated.</t>
        </r>
      </text>
    </comment>
    <comment ref="O13" authorId="0" shapeId="0" xr:uid="{10219E66-1FCB-47C0-A0A9-0D5060484272}">
      <text>
        <r>
          <rPr>
            <b/>
            <sz val="9"/>
            <color indexed="81"/>
            <rFont val="Tahoma"/>
            <family val="2"/>
          </rPr>
          <t>Risk level of low, medium or high, depending on the risk score. This field will be automatically generated.</t>
        </r>
      </text>
    </comment>
    <comment ref="P13" authorId="0" shapeId="0" xr:uid="{D084F3CC-6F7C-42FB-A3D2-3702642D9C17}">
      <text>
        <r>
          <rPr>
            <b/>
            <sz val="9"/>
            <color indexed="81"/>
            <rFont val="Tahoma"/>
            <family val="2"/>
          </rPr>
          <t>Select a risk treatment option from the drop-down menu.</t>
        </r>
      </text>
    </comment>
    <comment ref="Q13" authorId="0" shapeId="0" xr:uid="{5A88E6CE-921F-404E-96B5-4B7163DE9542}">
      <text>
        <r>
          <rPr>
            <b/>
            <sz val="9"/>
            <color indexed="81"/>
            <rFont val="Tahoma"/>
            <family val="2"/>
          </rPr>
          <t xml:space="preserve">If appropriate, record the proposed controls intended to address the risk. These may be guided by ISO27001 Annex A reference controls, or taken from another source. </t>
        </r>
      </text>
    </comment>
    <comment ref="R13" authorId="0" shapeId="0" xr:uid="{6D56ED50-1899-4DD9-ABDE-0A574686B79A}">
      <text>
        <r>
          <rPr>
            <b/>
            <sz val="9"/>
            <color indexed="81"/>
            <rFont val="Tahoma"/>
            <family val="2"/>
          </rPr>
          <t>If appropriate, give the specific reference information of the control(s) used to address the risk.</t>
        </r>
      </text>
    </comment>
    <comment ref="S13" authorId="0" shapeId="0" xr:uid="{E724B07D-4C72-4664-92A6-ACD34EE63AF5}">
      <text>
        <r>
          <rPr>
            <b/>
            <sz val="9"/>
            <color indexed="81"/>
            <rFont val="Tahoma"/>
            <family val="2"/>
          </rPr>
          <t>How much money will the proposed control cost?</t>
        </r>
      </text>
    </comment>
    <comment ref="T13" authorId="0" shapeId="0" xr:uid="{773DF90E-52E9-4873-9C09-673F74B50E14}">
      <text>
        <r>
          <rPr>
            <b/>
            <sz val="9"/>
            <color indexed="81"/>
            <rFont val="Tahoma"/>
            <family val="2"/>
          </rPr>
          <t>The person or role tasked with completing the treatment action.</t>
        </r>
      </text>
    </comment>
    <comment ref="U13" authorId="0" shapeId="0" xr:uid="{0CEF16B6-0228-4DC0-88ED-B13C171B6965}">
      <text>
        <r>
          <rPr>
            <b/>
            <sz val="9"/>
            <color indexed="81"/>
            <rFont val="Tahoma"/>
            <family val="2"/>
          </rPr>
          <t>The date or timeframe by which the treatment action must be completed.</t>
        </r>
      </text>
    </comment>
    <comment ref="V13" authorId="0" shapeId="0" xr:uid="{816B701D-622A-4FD3-891A-C02716955D48}">
      <text>
        <r>
          <rPr>
            <b/>
            <sz val="9"/>
            <color indexed="81"/>
            <rFont val="Tahoma"/>
            <family val="2"/>
          </rPr>
          <t>A dated narrative of progress towards the completion of the treatment action.</t>
        </r>
      </text>
    </comment>
    <comment ref="W13" authorId="0" shapeId="0" xr:uid="{7CFDF163-A4B2-4165-85A2-73514EF7106A}">
      <text>
        <r>
          <rPr>
            <b/>
            <sz val="9"/>
            <color indexed="81"/>
            <rFont val="Tahoma"/>
            <family val="2"/>
          </rPr>
          <t>Whether the treatment action has been completed.</t>
        </r>
      </text>
    </comment>
    <comment ref="X13" authorId="0" shapeId="0" xr:uid="{D8633ADB-E07D-403D-8307-F908A9D8112F}">
      <text>
        <r>
          <rPr>
            <b/>
            <sz val="9"/>
            <color indexed="81"/>
            <rFont val="Tahoma"/>
            <family val="2"/>
          </rPr>
          <t>Select a score from 1 to 5, where 1 is a low likelihood and 5 is high.</t>
        </r>
      </text>
    </comment>
    <comment ref="Y13" authorId="0" shapeId="0" xr:uid="{F9B3A9F9-48FF-414E-8D59-005FFF21C413}">
      <text>
        <r>
          <rPr>
            <b/>
            <sz val="9"/>
            <color indexed="81"/>
            <rFont val="Tahoma"/>
            <family val="2"/>
          </rPr>
          <t>Reasoning for giving that likelihood score.</t>
        </r>
      </text>
    </comment>
    <comment ref="Z13" authorId="0" shapeId="0" xr:uid="{76B048B7-BCE9-4D6A-9BD3-273FCF368D64}">
      <text>
        <r>
          <rPr>
            <b/>
            <sz val="9"/>
            <color indexed="81"/>
            <rFont val="Tahoma"/>
            <family val="2"/>
          </rPr>
          <t>Select a score from 1 to 5, where 1 is low impact and 5 is high.</t>
        </r>
      </text>
    </comment>
    <comment ref="AA13" authorId="0" shapeId="0" xr:uid="{100C04F8-2E28-4692-84E9-7253EF18BA84}">
      <text>
        <r>
          <rPr>
            <b/>
            <sz val="9"/>
            <color indexed="81"/>
            <rFont val="Tahoma"/>
            <family val="2"/>
          </rPr>
          <t>Reasoning for giving that impact score.</t>
        </r>
      </text>
    </comment>
    <comment ref="AB13" authorId="0" shapeId="0" xr:uid="{BC085B28-33FC-47A3-9DBD-6BFAE46ACB63}">
      <text>
        <r>
          <rPr>
            <b/>
            <sz val="9"/>
            <color indexed="81"/>
            <rFont val="Tahoma"/>
            <family val="2"/>
          </rPr>
          <t>Risk score of between 1 and 25. This field will be automatically generated.</t>
        </r>
      </text>
    </comment>
    <comment ref="AC13" authorId="0" shapeId="0" xr:uid="{84933151-F8BE-4D10-B7CD-910223C87AAA}">
      <text>
        <r>
          <rPr>
            <b/>
            <sz val="9"/>
            <color indexed="81"/>
            <rFont val="Tahoma"/>
            <family val="2"/>
          </rPr>
          <t>Risk level of low, medium or high, depending on the risk score. This field will be automatically generated.</t>
        </r>
      </text>
    </comment>
    <comment ref="AD13" authorId="0" shapeId="0" xr:uid="{2A6B4ACF-D29C-4FC7-82E6-2C5FBAAA3EA7}">
      <text>
        <r>
          <rPr>
            <b/>
            <sz val="9"/>
            <color indexed="81"/>
            <rFont val="Tahoma"/>
            <family val="2"/>
          </rPr>
          <t>Enter any other comments here.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<sst xmlns="http://schemas.openxmlformats.org/spreadsheetml/2006/main" count="1462" uniqueCount="909">
  <si>
    <t>Select…</t>
  </si>
  <si>
    <t>Assessment Details</t>
  </si>
  <si>
    <t>Ref</t>
  </si>
  <si>
    <t>Risk Owner</t>
  </si>
  <si>
    <t>Likelihood</t>
  </si>
  <si>
    <t>Impact</t>
  </si>
  <si>
    <t>Risk level</t>
  </si>
  <si>
    <t>Comments</t>
  </si>
  <si>
    <t xml:space="preserve"> RISK DESCRIPTION</t>
  </si>
  <si>
    <t>ONE TO FIVE</t>
  </si>
  <si>
    <t>Accept</t>
  </si>
  <si>
    <t>Avoid</t>
  </si>
  <si>
    <t>Modify</t>
  </si>
  <si>
    <t>Share</t>
  </si>
  <si>
    <t>OPTIONS</t>
  </si>
  <si>
    <t>LIKELIHOOD</t>
  </si>
  <si>
    <t>DESCRIPTION</t>
  </si>
  <si>
    <t>SUMMARY</t>
  </si>
  <si>
    <t>Improbable</t>
  </si>
  <si>
    <t>Unlikely</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</si>
  <si>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</si>
  <si>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</si>
  <si>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</si>
  <si>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</si>
  <si>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</si>
  <si>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</si>
  <si>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</si>
  <si>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</si>
  <si>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This table should be used as guidance to help to decide upon the correct impact rating for a particular threat.</t>
  </si>
  <si>
    <t>This table should be used to decide upon the most appropriate likelihood for a particular threat.</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</si>
  <si>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</si>
  <si>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</si>
  <si>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</si>
  <si>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</si>
  <si>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</si>
  <si>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</si>
  <si>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</si>
  <si>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</si>
  <si>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</si>
  <si>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</si>
  <si>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</si>
  <si>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</si>
  <si>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</si>
  <si>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</si>
  <si>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</si>
  <si>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</si>
  <si>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</si>
  <si>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</si>
  <si>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</si>
  <si>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</si>
  <si>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</si>
  <si>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</si>
  <si>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</si>
  <si>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</si>
  <si>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</si>
  <si>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Impact rating</t>
  </si>
  <si>
    <t>General description</t>
  </si>
  <si>
    <t xml:space="preserve"> IMPACT AREAS</t>
  </si>
  <si>
    <t xml:space="preserve"> IMPACT LEVEL</t>
  </si>
  <si>
    <t>Damage to reputation</t>
  </si>
  <si>
    <t>The chart below shows the rating scheme used to determine risk level based on a combination of likelihood and impact.</t>
  </si>
  <si>
    <t xml:space="preserve"> Low</t>
  </si>
  <si>
    <t xml:space="preserve"> Medium</t>
  </si>
  <si>
    <t xml:space="preserve"> High</t>
  </si>
  <si>
    <t xml:space="preserve">Risk Assessment Scope
</t>
  </si>
  <si>
    <t xml:space="preserve">Version
</t>
  </si>
  <si>
    <t xml:space="preserve">Dated
</t>
  </si>
  <si>
    <t xml:space="preserve">Risk Assessors
</t>
  </si>
  <si>
    <t xml:space="preserve">Approval
</t>
  </si>
  <si>
    <t xml:space="preserve">Date Approved
</t>
  </si>
  <si>
    <t>Risk Assessment Participants</t>
  </si>
  <si>
    <t xml:space="preserve">Security Classification
</t>
  </si>
  <si>
    <t>Context of Risk Assessment</t>
  </si>
  <si>
    <t>Risk Type</t>
  </si>
  <si>
    <t>Annex A/Control Reference</t>
  </si>
  <si>
    <t>RISK TYPE</t>
  </si>
  <si>
    <t>You may use this table to help to identify relevant risks for your organization and to define where the controls from Annex A of ISO/IEC 27001 are applicable.</t>
  </si>
  <si>
    <t>ANNEX A CONTROL</t>
  </si>
  <si>
    <t>It is not clear what the organization's rules are for managing information security. Employees and others aren't aware of what they should be doing to protect the organization</t>
  </si>
  <si>
    <t>It is not clear who should be doing what with respect to information security</t>
  </si>
  <si>
    <t>The organization is unaware of their legal or regulatory responsibilities and may break the law without realising it</t>
  </si>
  <si>
    <t>The organization lacks up to date knowledge of information security issues such as current threats, new controls and other relevant information</t>
  </si>
  <si>
    <t>Information gathered and created during projects is not adequately protected</t>
  </si>
  <si>
    <t>A teleworking site does not meet the information security standards ensured at main locations and data is exposed to loss or theft</t>
  </si>
  <si>
    <t>It is not clear to employees what their responsibilities for information security are</t>
  </si>
  <si>
    <t>It is not clear what assets we are trying to protect and where they are located</t>
  </si>
  <si>
    <t>No-one takes responsibility for protecting specific assets</t>
  </si>
  <si>
    <t>Information and assets are used in ways that are not acceptable to the organization e.g. devices are physically abused and information left exposed</t>
  </si>
  <si>
    <t>Assets are not returned when someone leaves the organization</t>
  </si>
  <si>
    <t>Assets that are stored with a cloud service provider are not returned</t>
  </si>
  <si>
    <t>It is not clear how specific items of information should be protected</t>
  </si>
  <si>
    <t>Employees are unable to tell how information should be protected</t>
  </si>
  <si>
    <t>Assets are handled inappropriately due to a lack of definition of how they should be addressed</t>
  </si>
  <si>
    <t>Removable media is used without effective protection of the data held on it</t>
  </si>
  <si>
    <t>Employees or third parties have access to information without authorisation or by mistake</t>
  </si>
  <si>
    <t>User accounts are created without authority or not removed when no longer needed</t>
  </si>
  <si>
    <t>Users are given an inappropriate level of access within systems</t>
  </si>
  <si>
    <t>Inappropriate levels of access remain in place long term and attempts to increase permissions are not spotted</t>
  </si>
  <si>
    <t>Ex-users still have access even when they have left the organization</t>
  </si>
  <si>
    <t>Users share user accounts and let others know their passwords</t>
  </si>
  <si>
    <t>Too much access is allowed to a user where their role does not require it</t>
  </si>
  <si>
    <t>Logon to secure systems is possible by unauthorised users</t>
  </si>
  <si>
    <t>Users do not set appropriately-strong passwords</t>
  </si>
  <si>
    <t>The use of encryption within the organization is haphazard and uncoordinated, resulting in a lack of effectiveness and possible illegal use</t>
  </si>
  <si>
    <t>It is not clear where physical security has been, or needs to be, applied</t>
  </si>
  <si>
    <t>Unauthorised people are able to gain physical access to sensitive information</t>
  </si>
  <si>
    <t>People in secure areas leave the area open to attack or unauthorised access</t>
  </si>
  <si>
    <t>Screens showing sensitive information can be seen by unauthorised people</t>
  </si>
  <si>
    <t>Essential facilities are disabled due to a power outage</t>
  </si>
  <si>
    <t>Equipment, information or software is removed from a location without the knowledge or permission of the organization</t>
  </si>
  <si>
    <t>Assets containing sensitive information are left unprotected whilst offsite</t>
  </si>
  <si>
    <t>Sensitive information can be read from storage media that has been disposed of or reused</t>
  </si>
  <si>
    <t>Support staff, e.g. cleaners and security personnel, are able to read sensitive information left unattended on desks</t>
  </si>
  <si>
    <t>Systems run slowly or not at all because the resources required are not available</t>
  </si>
  <si>
    <t>An administrator of a cloud service makes a serious and unrecoverable error that affects service availability or security</t>
  </si>
  <si>
    <t>Suspicious events are not detected due to inadequate logs being kept</t>
  </si>
  <si>
    <t>Incriminating logs are wiped or altered by an attacker</t>
  </si>
  <si>
    <t>The time sequence of an attack cannot be identified because each of the clocks involved tell a different time</t>
  </si>
  <si>
    <t>The organization can't tell if a cloud service has been compromised because no logs are kept</t>
  </si>
  <si>
    <t>Software is installed on an operational system which causes an unwanted effect e.g. compatibility issues or the introduction of vulnerabilities</t>
  </si>
  <si>
    <t>A user installs some software that introduces vulnerabilities to the organization and its network</t>
  </si>
  <si>
    <t>The required security mechanisms, service levels and management requirements for network services are not agreed with the supplier and so are not provided</t>
  </si>
  <si>
    <t>Information in transit is intercepted and compromised</t>
  </si>
  <si>
    <t>Confidential information is shared with others by a third party because it was not agreed that this is not allowed</t>
  </si>
  <si>
    <t>Information involved in application services is intercepted and modified in order to commit fraud</t>
  </si>
  <si>
    <t>Software is written that has an unacceptable level of vulnerabilities</t>
  </si>
  <si>
    <t>Changes are uncontrolled whilst in development leading to poor quality software and badly-defined releases</t>
  </si>
  <si>
    <t>Business critical applications are adversely affected when the underlying operating platform is changed</t>
  </si>
  <si>
    <t>Significant modifications to software packages introduce security vulnerabilities, functionality issues and support problems</t>
  </si>
  <si>
    <t>Security functionality doesn't work correctly in live software</t>
  </si>
  <si>
    <t>Newly-implemented systems don't work as intended</t>
  </si>
  <si>
    <t>Test data doesn't identify issues with the software being tested and is itself of value to an attacker (e.g. if copied from live data)</t>
  </si>
  <si>
    <t>An attacker gains access to the organization's network using logon credentials obtained from a supplier who has legitimate access</t>
  </si>
  <si>
    <t>A supplier, who provides services to and has access to the organization's information, has inadequate security controls in place and suffers a breach involving the organization's data</t>
  </si>
  <si>
    <t>A supplier uses contractors who do not have adequate security controls in place</t>
  </si>
  <si>
    <t>A supplier is not delivering the level of service that they should</t>
  </si>
  <si>
    <t>It is not clear who should do what when an information security incident occurs</t>
  </si>
  <si>
    <t>Management is not aware that an information security event has been detected</t>
  </si>
  <si>
    <t>Weaknesses in information security do not get addressed because they are not reported</t>
  </si>
  <si>
    <t>No decisions are taken about whether events should be escalated to incidents</t>
  </si>
  <si>
    <t>The response to information security incidents is inadequate and procedures are not used</t>
  </si>
  <si>
    <t>Nothing is learned from incidents and no improvements are made</t>
  </si>
  <si>
    <t>No usable or admissible evidence is collected as a result of a lack of awareness of how this must be done. Because of this, nobody can be prosecuted</t>
  </si>
  <si>
    <t>It is not known what level of information security must be provided during a disruptive event</t>
  </si>
  <si>
    <t>Information security controls become ineffective when a disruptive event happens</t>
  </si>
  <si>
    <t>The intended information security controls don't work during a disruptive event because they have never been tested</t>
  </si>
  <si>
    <t>Information processing facilities fail due to a lack of sufficient redundancy</t>
  </si>
  <si>
    <t>It is not known what legislative, regulatory and contractual requirements each information system must meet and, as a result, such requirements are not met</t>
  </si>
  <si>
    <t>The organization is subject to legal action as a result of breaching intellectual property rights and licensing requirements</t>
  </si>
  <si>
    <t>Records that are required to be kept are lost, falsified or accessed, resulting in legal or contractual issues</t>
  </si>
  <si>
    <t>Laws requiring the protection of personally identifiable information are breached, resulting in prosecution and fines</t>
  </si>
  <si>
    <t>Cryptography is used inappropriately, resulting in prosecution</t>
  </si>
  <si>
    <t>The implementation of information security is never independently checked and many controls do not work as intended</t>
  </si>
  <si>
    <t>Management does not check that policies and procedures are being followed and people stop using them over time</t>
  </si>
  <si>
    <t>As systems evolve, security controls become less effective and more vulnerable to attack</t>
  </si>
  <si>
    <t>Management do not enforce and emphasise the need to comply with information security policies</t>
  </si>
  <si>
    <t>Operating procedures are not clear to all employees who need to perform them and vary according to who does them</t>
  </si>
  <si>
    <t>Software changes made in development are put live without adequate testing or supervision</t>
  </si>
  <si>
    <t>The activities of administrators and operators cannot be verified</t>
  </si>
  <si>
    <t>Network devices and their configuration are unmanaged and uncoordinated, so introducing vulnerabilities for the organization</t>
  </si>
  <si>
    <t>An attacker, having gained access to the network, is able to see and access all systems and devices</t>
  </si>
  <si>
    <t>Virtual networks are configured differently to physical ones and as a consequence don't provide the same required level of security</t>
  </si>
  <si>
    <t>Transfer of information between the organization and external parties is not subject to adequate protection</t>
  </si>
  <si>
    <t>Information security is not considered adequately when new or enhanced systems are designed</t>
  </si>
  <si>
    <t>A.11.1.2 Physical entry controls</t>
  </si>
  <si>
    <t>Effect on customers</t>
  </si>
  <si>
    <t>Financial cost</t>
  </si>
  <si>
    <t>Health and Safety</t>
  </si>
  <si>
    <t>Legal, Contractual and Organizational Compliance</t>
  </si>
  <si>
    <t>The following list of reference controls is used within the risk assessment worksheets.</t>
  </si>
  <si>
    <t xml:space="preserve"> REF</t>
  </si>
  <si>
    <t>Existing Controls</t>
  </si>
  <si>
    <t>Likelihood Rationale</t>
  </si>
  <si>
    <t>Impact Rationale</t>
  </si>
  <si>
    <t>Risk Score</t>
  </si>
  <si>
    <t>Risk Level</t>
  </si>
  <si>
    <t>Treatment Option Chosen</t>
  </si>
  <si>
    <t>Post-Treatment Likelihood</t>
  </si>
  <si>
    <t>Post-Treatment Likelihood Rationale</t>
  </si>
  <si>
    <t>Post-Treatment Impact Rationale</t>
  </si>
  <si>
    <t>Post-Treatment Risk Score</t>
  </si>
  <si>
    <t>Post-Treatment Risk Level</t>
  </si>
  <si>
    <t>Pre-Treatment</t>
  </si>
  <si>
    <t>Risk Likelihood</t>
  </si>
  <si>
    <t>C</t>
  </si>
  <si>
    <t>A</t>
  </si>
  <si>
    <t>I</t>
  </si>
  <si>
    <t>CI</t>
  </si>
  <si>
    <t>CA</t>
  </si>
  <si>
    <t>IA</t>
  </si>
  <si>
    <t>CIA</t>
  </si>
  <si>
    <t>Post-Treatment</t>
  </si>
  <si>
    <t>Risks: Pre and Post Treatment</t>
  </si>
  <si>
    <t>Column Labels</t>
  </si>
  <si>
    <t>Grand Total</t>
  </si>
  <si>
    <t>Row Labels</t>
  </si>
  <si>
    <t>Count of Risk Level</t>
  </si>
  <si>
    <t>Risk Type Table</t>
  </si>
  <si>
    <t>Risk Owner Table</t>
  </si>
  <si>
    <t>Pivot Tables</t>
  </si>
  <si>
    <t>Treatment Option Table</t>
  </si>
  <si>
    <t>Selection Tables</t>
  </si>
  <si>
    <t>Treatment Cost</t>
  </si>
  <si>
    <t>Treatment Cost Table</t>
  </si>
  <si>
    <t>Sum of Treatment Cost</t>
  </si>
  <si>
    <t>Treatment Action Owner</t>
  </si>
  <si>
    <t>Treatment Action Timescale</t>
  </si>
  <si>
    <t>Treatment Action Status</t>
  </si>
  <si>
    <t>Treatment Action Progress</t>
  </si>
  <si>
    <t xml:space="preserve"> TREATMENT PLAN</t>
  </si>
  <si>
    <t>Post- Treatment Impact</t>
  </si>
  <si>
    <t xml:space="preserve"> PRE-TREATMENT ASSESSMENT</t>
  </si>
  <si>
    <t xml:space="preserve"> POST-TREATMENT ASSESSMENT</t>
  </si>
  <si>
    <t>Proposed Treatment Action</t>
  </si>
  <si>
    <t>Completed</t>
  </si>
  <si>
    <t>Not Started</t>
  </si>
  <si>
    <t>In Progress</t>
  </si>
  <si>
    <t>Rejected</t>
  </si>
  <si>
    <t>TREATMENT ACTION STATUS</t>
  </si>
  <si>
    <t>Pre-treatment assessment</t>
  </si>
  <si>
    <t>Post-treatment assessment</t>
  </si>
  <si>
    <t>Risk profile diagram</t>
  </si>
  <si>
    <t>The charts below show the spread of risk severities before and after risk treatment.</t>
  </si>
  <si>
    <t>Pre-treatment</t>
  </si>
  <si>
    <t>Post-treatment</t>
  </si>
  <si>
    <t>INSIGNIFICANT
1</t>
  </si>
  <si>
    <t>MINOR
2</t>
  </si>
  <si>
    <t>SIGNIFICANT
3</t>
  </si>
  <si>
    <t>MAJOR
4</t>
  </si>
  <si>
    <t>SEVERE
5</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</si>
  <si>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</si>
  <si>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</si>
  <si>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</si>
  <si>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</si>
  <si>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</si>
  <si>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</si>
  <si>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</si>
  <si>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</si>
  <si>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</si>
  <si>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</si>
  <si>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</si>
  <si>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</si>
  <si>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</si>
  <si>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</si>
  <si>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</si>
  <si>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</si>
  <si>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</si>
  <si>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</si>
  <si>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</si>
  <si>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</si>
  <si>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</si>
  <si>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To refresh chart data on the risk dashboard, click on “Refresh All” on the Data ribbon.</t>
  </si>
  <si>
    <t>IMPACT: How major could the consequences be if the risk event happened?</t>
  </si>
  <si>
    <t>LIKELIHOOD: What are the chances of the risk event happening?</t>
  </si>
  <si>
    <t>Classification of risk level</t>
  </si>
  <si>
    <t>Malicious insider</t>
  </si>
  <si>
    <t>A key physical server has a processor failure</t>
  </si>
  <si>
    <t>One or more people with key skills or knowledge are unavailable perhaps due to extended sickness</t>
  </si>
  <si>
    <t>Number of Pre-treatment risks by risk level</t>
  </si>
  <si>
    <t xml:space="preserve">Pre-treatment </t>
  </si>
  <si>
    <t>Pre-treatment risk levels by risk owner</t>
  </si>
  <si>
    <t>(blank)</t>
  </si>
  <si>
    <t xml:space="preserve">Risk Level </t>
  </si>
  <si>
    <t>Number of Post-mitigation risks by risk level</t>
  </si>
  <si>
    <t xml:space="preserve">Post-treatment </t>
  </si>
  <si>
    <t>Number of risks by risk level pre and post treatment</t>
  </si>
  <si>
    <t>Risks by treatment option chosen</t>
  </si>
  <si>
    <t>Total treatment cost by risk level</t>
  </si>
  <si>
    <t xml:space="preserve">Treatment action owner </t>
  </si>
  <si>
    <t>Count of Treatment Action Owner</t>
  </si>
  <si>
    <t xml:space="preserve">Risk Assessment Title
</t>
  </si>
  <si>
    <t>Risk Acceptance Criteria</t>
  </si>
  <si>
    <t>Asset-Based Risk Assessment and Treatment Tool</t>
  </si>
  <si>
    <t>Asset Group</t>
  </si>
  <si>
    <t>Asset</t>
  </si>
  <si>
    <t>Threat</t>
  </si>
  <si>
    <t>Vulnerability</t>
  </si>
  <si>
    <t>Asset | Threat | Vulnerability | Risk Type | Control Examples</t>
  </si>
  <si>
    <t>The following list shows a list of assets, with associated threats and vulnerabilities, risk type and the Annex A controls that might be used to treat them.</t>
  </si>
  <si>
    <t>EXAMPLE ASSET GROUP</t>
  </si>
  <si>
    <t>EXAMPLE THREAT(S)</t>
  </si>
  <si>
    <t>EXAMPLE VULNERABILITY</t>
  </si>
  <si>
    <t>RISK TYPE(S)</t>
  </si>
  <si>
    <t>Organization</t>
  </si>
  <si>
    <t>Policies either don't exist or don't cover the required areas</t>
  </si>
  <si>
    <t>Availability</t>
  </si>
  <si>
    <t>New threats have emerged that need to be addressed in policies</t>
  </si>
  <si>
    <t>Policies are out of date, do not reflect the organization's business or technical setup</t>
  </si>
  <si>
    <t>Confidentiality, Integrity and Availability</t>
  </si>
  <si>
    <t>Roles and responsibilities for information security have not been clearly defined</t>
  </si>
  <si>
    <t>Confidentiality</t>
  </si>
  <si>
    <t>Business activities</t>
  </si>
  <si>
    <t>An individual is able to perform all of the steps required to perform a sensitive business process. Checks are insufficient to prevent accidental amendment or destruction of data</t>
  </si>
  <si>
    <t>Processes have not been designed to limit the scope for deliberate or accidental actions</t>
  </si>
  <si>
    <t>No contact is in place with bodies who may impose requirements on our organisation</t>
  </si>
  <si>
    <t>Confidentiality and Availability</t>
  </si>
  <si>
    <t>No budget is currently available for attendance at conferences, seminars and training events</t>
  </si>
  <si>
    <t>Information</t>
  </si>
  <si>
    <t>Data held on mobile devices is prone to loss or theft of the device, or unauthorised access</t>
  </si>
  <si>
    <t>No guidance is given to employees about how to protect their mobile devices</t>
  </si>
  <si>
    <t>Physical/Site</t>
  </si>
  <si>
    <t>Teleworking arrangements are informal and no checking is done of the environment in place</t>
  </si>
  <si>
    <t>It is not clear who does what with respect to cloud security and one party (e.g. cloud service customer) is under the impression that the other (e.g. cloud service provider) is monitoring a particular aspect</t>
  </si>
  <si>
    <t>No split of responsibilities is agreed as part of the cloud take-on service</t>
  </si>
  <si>
    <t>People</t>
  </si>
  <si>
    <t>An employee is recruited who could deliberately breach information security</t>
  </si>
  <si>
    <t>Employee references are not thoroughly checked and no additional background checks are mandated</t>
  </si>
  <si>
    <t>Current employment contracts don't cover information security in sufficient detail</t>
  </si>
  <si>
    <t>Employees do not follow security policies as they are regarded as irrelevant</t>
  </si>
  <si>
    <t>Little information security awareness training is currently conducted, either as part of induction or ongoing employment</t>
  </si>
  <si>
    <t>The consequences of committing an information security breach are not sufficiently clear to employees</t>
  </si>
  <si>
    <t xml:space="preserve">Several recent high profile security breaches have not been followed up with disciplinary action </t>
  </si>
  <si>
    <t xml:space="preserve">Ex-employees could breach information security after leaving e.g. making confidential information public </t>
  </si>
  <si>
    <t>It is not made clear to leavers that they have continuing obligations for confidentiality after employment has ended</t>
  </si>
  <si>
    <t>Information is spread across many unmanaged data sets and their contents are uncertain</t>
  </si>
  <si>
    <t>There is a tendency to assume that someone else is protecting an asset</t>
  </si>
  <si>
    <t>Integrity and Availability</t>
  </si>
  <si>
    <t>Employees are not told what actions are regarded as acceptable or unacceptable</t>
  </si>
  <si>
    <t>Hardware</t>
  </si>
  <si>
    <t>The leaver procedure doesn't currently cover the return of all assets</t>
  </si>
  <si>
    <t>Integrity</t>
  </si>
  <si>
    <t>System decommissioning processes are outdated and don't cover cloud services</t>
  </si>
  <si>
    <t>The types of information that require specific protection have not been defined</t>
  </si>
  <si>
    <t>Definitions of sensitivity are varied across departments; information which one department regards as sensitive is not well protected in another</t>
  </si>
  <si>
    <t>Procedures do not define the controls required according to the classification of the asset</t>
  </si>
  <si>
    <t>Unencrypted memory sticks are routinely used as part of business processes, and for home working</t>
  </si>
  <si>
    <t>The information stored on media is vulnerable to compromise when it is disposed of</t>
  </si>
  <si>
    <t>Old computers are currently given to charity with just a factory reset</t>
  </si>
  <si>
    <t>Data held on media is not adequately protected whilst in transit e.g. by the use of encryption</t>
  </si>
  <si>
    <t>Unencrypted backup tapes are sometimes left unattended in a vehicle during the transfer process</t>
  </si>
  <si>
    <t>Access to some parts of the shared folder system is too loose for the types of information stored on it</t>
  </si>
  <si>
    <t>Network</t>
  </si>
  <si>
    <t>A user could gain unauthorised access to information via a network that they have no reason to legitimately use</t>
  </si>
  <si>
    <t>Confidentiality and Integrity</t>
  </si>
  <si>
    <t>The user account creation process lacks sufficient oversight from management</t>
  </si>
  <si>
    <t xml:space="preserve">Some user role definitions are too broad; more granular definitions are required </t>
  </si>
  <si>
    <t>Privileged access rights could be used by an unauthorised person to breach information security</t>
  </si>
  <si>
    <t xml:space="preserve">Some systems are not fully understood and so admin level access is often provided by default </t>
  </si>
  <si>
    <t>User passwords are known to someone other than the user to whom they relate</t>
  </si>
  <si>
    <t>The help desk procedure to issue password resets is not sufficiently secure</t>
  </si>
  <si>
    <t>People transferring between roles often retain the access they had in their previous role</t>
  </si>
  <si>
    <t>The process to disable leavers' user accounts takes too long</t>
  </si>
  <si>
    <t>Temporary employees are often told to use shared user accounts</t>
  </si>
  <si>
    <t>Some systems only allow for either an admin or user level access, with no granularity of access available</t>
  </si>
  <si>
    <t>Some potentially sensitive HR information is available via a hyperlink without logging on</t>
  </si>
  <si>
    <t>Many users choose to cycle round a few, known passwords</t>
  </si>
  <si>
    <t>A privileged utility program could be used to bypass security controls and gain unauthorised access to information</t>
  </si>
  <si>
    <t>Database editing tools are generally used in development, and may be accessible outside that team</t>
  </si>
  <si>
    <t>Program source code could be destroyed or tampered with to benefit an attacker</t>
  </si>
  <si>
    <t>Access to source code is not currently logged</t>
  </si>
  <si>
    <t>Software</t>
  </si>
  <si>
    <t>The encryption algorithms and the key lengths used are not always appropriate for the purpose</t>
  </si>
  <si>
    <t>Cryptographic keys are often lost or compromised, potentially resulting in the loss of encrypted data</t>
  </si>
  <si>
    <t>There are no guidelines, rules, or secure storage locations provided for cryptographic keys</t>
  </si>
  <si>
    <t>Some locations are shared with other companies and physical separation is badly-defined</t>
  </si>
  <si>
    <t>Unauthorised people are able to bypass entry controls</t>
  </si>
  <si>
    <t>Care of access cards in some locations is inadequate e.g. stored in unlocked drawers</t>
  </si>
  <si>
    <t>Some rooms which are used to discuss sensitive business issues, involving the use of whiteboards, are not sufficiently secured</t>
  </si>
  <si>
    <t>An accident, attack or natural disaster could destroy or severely affect sensitive information and its processing</t>
  </si>
  <si>
    <t>A new chemical processing plant has been constructed near to the data centre</t>
  </si>
  <si>
    <t>No regular checks are made on how well secure areas are maintained</t>
  </si>
  <si>
    <t>Access could be gained to secure areas via a publicly-accessible delivery area</t>
  </si>
  <si>
    <t>At some smaller locations, deliveries are made to within a secure office</t>
  </si>
  <si>
    <t xml:space="preserve">Some of the computer screens in HR point towards a glass partition with an employee rest area on the other side of it </t>
  </si>
  <si>
    <t>Power supply is variable at some locations, with regular disruptions</t>
  </si>
  <si>
    <t>Someone could listen in to sensitive information by tapping a cable</t>
  </si>
  <si>
    <t>Some cables are routed along the outside of walls to which there is public access</t>
  </si>
  <si>
    <t>Equipment often breaks down or fails to protect information due to a lack of appropriate care</t>
  </si>
  <si>
    <t>Some of the equipment used for business-critical operations is old</t>
  </si>
  <si>
    <t>No rules are in place about which equipment may be removed, and under what circumstances</t>
  </si>
  <si>
    <t>Laptops are often taken to conferences, on planes and in hotel rooms</t>
  </si>
  <si>
    <t>Devices with flash storage are not always wiped effectively when being disposed of</t>
  </si>
  <si>
    <t xml:space="preserve">Someone could access systems they are not authorised to using a device that has been left logged on </t>
  </si>
  <si>
    <t>Employees often leave their desks for meetings, lunch and coffee breaks</t>
  </si>
  <si>
    <t>Work in progress is often left out overnight</t>
  </si>
  <si>
    <t>Loss of data due to incorrect performance of operating procedures</t>
  </si>
  <si>
    <t>Information security may become compromised when changes are made to the organization, business processes or information processing facilities and systems</t>
  </si>
  <si>
    <t>Changes are managed informally, with little focus on information security</t>
  </si>
  <si>
    <t>Performance and capacity of resources such as storage and processors is not monitored</t>
  </si>
  <si>
    <t xml:space="preserve">A poorly-tested software change results in errors in a business-critical process </t>
  </si>
  <si>
    <t>Inadequate control over admin functions that have the potential to disrupt operations if used incorrectly or inappropriately</t>
  </si>
  <si>
    <t>Systems are  affected by malware e.g. ransomware or spyware, having a serious effect on service delivery and security</t>
  </si>
  <si>
    <t>The anti-malware program in use does not have a good reputation for effectiveness</t>
  </si>
  <si>
    <t>Data is  lost and cannot be recovered from backup</t>
  </si>
  <si>
    <t>It is not clear what backups are required or take place</t>
  </si>
  <si>
    <t>Logging is inconsistent and poorly configured in many areas of hardware and software</t>
  </si>
  <si>
    <t>Logs are not subject to access controls and are not backed up</t>
  </si>
  <si>
    <t>An insider with admin access views sensitive data</t>
  </si>
  <si>
    <t>Clocks on systems are not synchronised</t>
  </si>
  <si>
    <t>Little monitoring of cloud services is in place</t>
  </si>
  <si>
    <t>Installation of software is not subject to change control</t>
  </si>
  <si>
    <t>A hacker exploits an undetected vulnerability and steals information</t>
  </si>
  <si>
    <t xml:space="preserve">Vulnerabilities in systems are not identified or addressed and could be exploited by attackers </t>
  </si>
  <si>
    <t>Users regularly install downloaded software on to their computers and onto servers</t>
  </si>
  <si>
    <t>Penetration tests disrupt a live system during peak service hours</t>
  </si>
  <si>
    <t>There is no coordination between the audit department and business operations</t>
  </si>
  <si>
    <t>An external threat actor is able to gain access to the network</t>
  </si>
  <si>
    <t>Contracts with suppliers are generally quite vague regarding the services provided</t>
  </si>
  <si>
    <t>An external threat actor is able to gain access to a less critical network, and then use this access to enter more business-critical networks</t>
  </si>
  <si>
    <t>A hacker is able to exploit the weaknesses in virtual networking to carry out an attack</t>
  </si>
  <si>
    <t>It is not clear what controls should be applied to information in transit</t>
  </si>
  <si>
    <t>Information in transit to and from third parties is intercepted and compromised</t>
  </si>
  <si>
    <t>Confidential emails are intercepted and used as the basis for an attack e.g. fraudulent bank transfer</t>
  </si>
  <si>
    <t>information sent in electronic messaging systems e.g. email and messenger services, is not protected</t>
  </si>
  <si>
    <t>Non-disclosure agreements are not routinely put in place</t>
  </si>
  <si>
    <t>New or changed systems are open to attack in ways that could have been predicted</t>
  </si>
  <si>
    <t>The level of encryption used for application services is weak</t>
  </si>
  <si>
    <t>Application service transactions are used to mount an attack on the organization or its business partners</t>
  </si>
  <si>
    <t>Application service transactions are open to amendment whilst in transit, with no indication that they have been altered</t>
  </si>
  <si>
    <t>No guidance is given to developers about how to write secure code</t>
  </si>
  <si>
    <t>No formal change controls procedures are used within the organization</t>
  </si>
  <si>
    <t>There is no coordination between the teams rolling out operating platform changes and the application support teams</t>
  </si>
  <si>
    <t>There is a culture of making sometimes unnecessary changes to off the shelf packages, for limited business benefits</t>
  </si>
  <si>
    <t>Systems are designed without adequate regard to, or knowledge of, information security</t>
  </si>
  <si>
    <t>No guidance is given to system designers about how to create secure systems</t>
  </si>
  <si>
    <t>Development environments are able to be accessed by unauthorised persons who could introduce code that makes future attacks easier</t>
  </si>
  <si>
    <t>The development environment has inadequate access control</t>
  </si>
  <si>
    <t>Code developed by an outsourcing provider may contain security flaws that are not discovered by the organization</t>
  </si>
  <si>
    <t>There are few checks on how code is written by third parties</t>
  </si>
  <si>
    <t>No testing is routinely carried out on the security aspects of new or changed systems</t>
  </si>
  <si>
    <t>Insufficient time is allocated to checking systems before they go live</t>
  </si>
  <si>
    <t>Test data is out of date and unrepresentative of system usage. It is held in an unsecured area</t>
  </si>
  <si>
    <t>Little is known about the security controls that suppliers have in place</t>
  </si>
  <si>
    <t>No contractual requirements are specified that suppliers must meet in the area of information security</t>
  </si>
  <si>
    <t>We are generally unaware of whether suppliers use subcontractors, and if they do, who they are</t>
  </si>
  <si>
    <t>No statistics are collected or reported on regarding the levels of service provided by suppliers</t>
  </si>
  <si>
    <t xml:space="preserve">A supplier e.g. cloud service provider, makes a change that is not expected and which significantly affects the organization's business processes </t>
  </si>
  <si>
    <t>Although we are informed of changes, we don't generally take notice of these as part of our change management process</t>
  </si>
  <si>
    <t>Responsibilities for information security incidents are not defined and no-one knows what to do if one is detected</t>
  </si>
  <si>
    <t>Events are happening all the time, but we don't have a way to bring them to the right person's attention</t>
  </si>
  <si>
    <t>No-one has been asked to tell us if they become aware of a potential security issue</t>
  </si>
  <si>
    <t>We don't have an effective way to assess whether an event, or collection of events, represents an incident or not</t>
  </si>
  <si>
    <t>There is no plan for what to do if a serious incident occurs</t>
  </si>
  <si>
    <t>We tend to suffer the same types of incidents time after time</t>
  </si>
  <si>
    <t>No-one knows how to preserve or collect evidence in a form that would be admissible in court</t>
  </si>
  <si>
    <t>Business continuity planning generally has little input from information security</t>
  </si>
  <si>
    <t>Some of the business continuity plans in place involve using facilities with few controls available, compared to normal operation</t>
  </si>
  <si>
    <t>Information security controls are not routinely tested as part of business continuity tests</t>
  </si>
  <si>
    <t>The level of availability required from systems is often not defined</t>
  </si>
  <si>
    <t>There is no procedure or resourcing to understand what legal, regulatory and contractual requirements we should be meeting</t>
  </si>
  <si>
    <t>People in the business are generally not aware about copyright laws and what we should be doing to stay within them</t>
  </si>
  <si>
    <t>There is no definition of the records that should be retained, how long for, and how they should be protected</t>
  </si>
  <si>
    <t>The organization's processing of PII does not always meet legal requirements</t>
  </si>
  <si>
    <t>There is little understanding of what may, and may not, be done in the area of cryptography</t>
  </si>
  <si>
    <t>Although controls are theoretically in place, many aspects of the business have changed and the controls have not been changed with them</t>
  </si>
  <si>
    <t>Operating platforms are regularly being updated, but little attention is paid to whether the changes affect security</t>
  </si>
  <si>
    <t>Examples of Assets</t>
  </si>
  <si>
    <t>The following is an initial list of typical assets that may be use as guidance for your risk assessment.</t>
  </si>
  <si>
    <t>Note: information assets should be captured in more detail in the Information Asset Inventory.</t>
  </si>
  <si>
    <t xml:space="preserve"> ASSET GROUP</t>
  </si>
  <si>
    <t>SUB-CATEGORY</t>
  </si>
  <si>
    <t>ASSET</t>
  </si>
  <si>
    <t>Business-critical activities</t>
  </si>
  <si>
    <t>Supporting activities</t>
  </si>
  <si>
    <t>Compliance</t>
  </si>
  <si>
    <t>Cloud customer data</t>
  </si>
  <si>
    <t>Personally identifiable information (PII)</t>
  </si>
  <si>
    <t>Non-PII</t>
  </si>
  <si>
    <t>Corporate</t>
  </si>
  <si>
    <t>Budgets</t>
  </si>
  <si>
    <t>Sales forecasts</t>
  </si>
  <si>
    <t>Corporate plans</t>
  </si>
  <si>
    <t>Corporate policies</t>
  </si>
  <si>
    <t>Sales and Marketing</t>
  </si>
  <si>
    <t>Customer records - names, addresses, contacts</t>
  </si>
  <si>
    <t>Customer credit card information</t>
  </si>
  <si>
    <t>Customer bank details e.g. Direct Debits</t>
  </si>
  <si>
    <t>Website information</t>
  </si>
  <si>
    <t>Customer preferences and purchase history</t>
  </si>
  <si>
    <t>Customer correspondence and complaints</t>
  </si>
  <si>
    <t>Human Resources</t>
  </si>
  <si>
    <t>Employee records  - address, DOB, insurance numbers</t>
  </si>
  <si>
    <t>Employee expense claims</t>
  </si>
  <si>
    <t>Payroll information, including bank details</t>
  </si>
  <si>
    <t>Training records</t>
  </si>
  <si>
    <t>Recruitment information</t>
  </si>
  <si>
    <t>Security clearance/check information</t>
  </si>
  <si>
    <t>Employee complaints/disciplinary records</t>
  </si>
  <si>
    <t>Sickness/occupational health records</t>
  </si>
  <si>
    <t>Employment contracts</t>
  </si>
  <si>
    <t>Finance</t>
  </si>
  <si>
    <t>Accounting records - invoices, bills, accounts</t>
  </si>
  <si>
    <t>Business account banking details</t>
  </si>
  <si>
    <t>Buying</t>
  </si>
  <si>
    <t>Supplier contact details</t>
  </si>
  <si>
    <t>Buying plans</t>
  </si>
  <si>
    <t>Commercial terms</t>
  </si>
  <si>
    <t>Legal</t>
  </si>
  <si>
    <t>Supplier contracts</t>
  </si>
  <si>
    <t>Customer contracts</t>
  </si>
  <si>
    <t>Property leases</t>
  </si>
  <si>
    <t>Credit agreements</t>
  </si>
  <si>
    <t>Insurance policies</t>
  </si>
  <si>
    <t>Operations</t>
  </si>
  <si>
    <t>Documents held on behalf of customers</t>
  </si>
  <si>
    <t>Product specifications and bills of materials</t>
  </si>
  <si>
    <t>Process and procedural documentation</t>
  </si>
  <si>
    <t>Intellectual Property specific to the organisation</t>
  </si>
  <si>
    <t>Resource plans</t>
  </si>
  <si>
    <t>Audit and Compliance</t>
  </si>
  <si>
    <t>Internal audit records</t>
  </si>
  <si>
    <t>External audit reports</t>
  </si>
  <si>
    <t>Risk assessments</t>
  </si>
  <si>
    <t>Email</t>
  </si>
  <si>
    <t>Accounting</t>
  </si>
  <si>
    <t>Payroll</t>
  </si>
  <si>
    <t>Bespoke software</t>
  </si>
  <si>
    <t>Intranet</t>
  </si>
  <si>
    <t>Website</t>
  </si>
  <si>
    <t>Design</t>
  </si>
  <si>
    <t>Office applications</t>
  </si>
  <si>
    <t>Marketing</t>
  </si>
  <si>
    <t>Industry-specific applications</t>
  </si>
  <si>
    <t>Computer servers</t>
  </si>
  <si>
    <t>Networking equipment</t>
  </si>
  <si>
    <t>Personal Computers</t>
  </si>
  <si>
    <t>Mobile devices e.g. tablets</t>
  </si>
  <si>
    <t>Mobile/Smart phones</t>
  </si>
  <si>
    <t>Network connections</t>
  </si>
  <si>
    <t>Network devices</t>
  </si>
  <si>
    <t>Network configurations</t>
  </si>
  <si>
    <t>Buildings</t>
  </si>
  <si>
    <t>Server rooms, including air conditioning and power units</t>
  </si>
  <si>
    <t>Machinery</t>
  </si>
  <si>
    <t>Stock</t>
  </si>
  <si>
    <t>Vehicles</t>
  </si>
  <si>
    <t>Gas supply</t>
  </si>
  <si>
    <t>Water</t>
  </si>
  <si>
    <t>Network services</t>
  </si>
  <si>
    <t>Telephone services</t>
  </si>
  <si>
    <t>Key resources</t>
  </si>
  <si>
    <t>Owner/Chief Executive</t>
  </si>
  <si>
    <t>Managers</t>
  </si>
  <si>
    <t>Engineers</t>
  </si>
  <si>
    <t>Knowledge holders</t>
  </si>
  <si>
    <t>Management</t>
  </si>
  <si>
    <t>Structure</t>
  </si>
  <si>
    <t>Project</t>
  </si>
  <si>
    <t>Suppliers</t>
  </si>
  <si>
    <t>Other</t>
  </si>
  <si>
    <t>Examples of Threats</t>
  </si>
  <si>
    <t>The following is a standard list of typical threats that may be use as guidance for your risk assessment.</t>
  </si>
  <si>
    <t xml:space="preserve"> THREAT CATEGORY</t>
  </si>
  <si>
    <t>THREAT</t>
  </si>
  <si>
    <t>EXAMPLE</t>
  </si>
  <si>
    <t>Human</t>
  </si>
  <si>
    <t>Malicious outsider</t>
  </si>
  <si>
    <t>Someone launches a denial of service attack on your cloud service platform</t>
  </si>
  <si>
    <t>An employee or trusted third party accesses cardholder data in an unauthorised manner from inside your network</t>
  </si>
  <si>
    <t>Loss of key personnel</t>
  </si>
  <si>
    <t>Human error</t>
  </si>
  <si>
    <t>An employee accidentally deletes cardholder data</t>
  </si>
  <si>
    <t>Accidental loss</t>
  </si>
  <si>
    <t xml:space="preserve">A manager loses a memory stick with cardholder data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</si>
  <si>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</si>
  <si>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</si>
  <si>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</si>
  <si>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</si>
  <si>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</si>
  <si>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</si>
  <si>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</si>
  <si>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</si>
  <si>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</si>
  <si>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</si>
  <si>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</si>
  <si>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</si>
  <si>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</si>
  <si>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</si>
  <si>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</si>
  <si>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</si>
  <si>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</si>
  <si>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</si>
  <si>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</si>
  <si>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</si>
  <si>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</si>
  <si>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</si>
  <si>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</si>
  <si>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Someone with a grudge against your organisation starts a fire during the night</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</si>
  <si>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</si>
  <si>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</si>
  <si>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</si>
  <si>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</si>
  <si>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</si>
  <si>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</si>
  <si>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</si>
  <si>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</si>
  <si>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</si>
  <si>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cardholder data is lost or sent to the wrong destination</t>
  </si>
  <si>
    <t>Crime scene</t>
  </si>
  <si>
    <t>A crime happens in or near your office and the area is sealed off by police</t>
  </si>
  <si>
    <t>Count of Asset Group</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</si>
  <si>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This document should be used to perform a risk assessment, including assessing the expected effects of treatments.</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</si>
  <si>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</si>
  <si>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should be used to perform an asset-based risk assessment, including assessing the expected effects of treatments.</t>
    </r>
  </si>
  <si>
    <r>
      <rPr>
        <b/>
        <sz val="16"/>
        <color theme="2" tint="-0.499984740745262"/>
        <rFont val="Calibri"/>
        <family val="2"/>
        <scheme val="minor"/>
      </rPr>
      <t>Areas of the standard addressed</t>
    </r>
    <r>
      <rPr>
        <sz val="11"/>
        <color rgb="FF444444"/>
        <rFont val="Calibri"/>
        <family val="2"/>
        <scheme val="minor"/>
      </rPr>
      <t xml:space="preserve">
The following areas of the ISO/IEC 27001 standard are addressed:
</t>
    </r>
    <r>
      <rPr>
        <i/>
        <sz val="11"/>
        <color rgb="FF444444"/>
        <rFont val="Calibri"/>
        <family val="2"/>
        <scheme val="minor"/>
      </rPr>
      <t>6.1 Actions to address risks and opportunities
6.1.2 Information security risk assessment
6.1.3 Information security risk treatment</t>
    </r>
  </si>
  <si>
    <r>
      <rPr>
        <b/>
        <sz val="16"/>
        <color theme="2" tint="-0.499984740745262"/>
        <rFont val="Calibri"/>
        <family val="2"/>
        <scheme val="minor"/>
      </rPr>
      <t>Review frequency</t>
    </r>
    <r>
      <rPr>
        <sz val="11"/>
        <color rgb="FF444444"/>
        <rFont val="Calibri"/>
        <family val="2"/>
        <scheme val="minor"/>
      </rPr>
      <t xml:space="preserve">
It is a good idea to revisit this risk assessment on a regular basis and to ensure that new risks that occur are identified and assessed.</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</si>
  <si>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</si>
  <si>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</si>
  <si>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</si>
  <si>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Calculated</t>
  </si>
  <si>
    <t>Project document stores are set up ad hoc and often outside of more formal access controls</t>
  </si>
  <si>
    <t>Employees and contractors are not aware of information security policies and  are unable to spot potential breaches</t>
  </si>
  <si>
    <t>Guest Wi-Fi is connected to the main network without an adequate firewall in place</t>
  </si>
  <si>
    <t>Policies are not generally available and little re-enforcement of their messages is routinely given</t>
  </si>
  <si>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ISO/IEC 27001 Toolkit Version 12</t>
    </r>
  </si>
  <si>
    <t>ISO/IEC 27001 Annex A Reference Controls</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</si>
  <si>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</si>
  <si>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</si>
  <si>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</si>
  <si>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</si>
  <si>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</si>
  <si>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</si>
  <si>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</si>
  <si>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</si>
  <si>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</si>
  <si>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</si>
  <si>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</si>
  <si>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</si>
  <si>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</si>
  <si>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</si>
  <si>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</si>
  <si>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</si>
  <si>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</si>
  <si>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</si>
  <si>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</si>
  <si>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</si>
  <si>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</si>
  <si>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</si>
  <si>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</si>
  <si>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</si>
  <si>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</si>
  <si>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</si>
  <si>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</si>
  <si>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</si>
  <si>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</si>
  <si>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</si>
  <si>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</si>
  <si>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</si>
  <si>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</si>
  <si>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</si>
  <si>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</si>
  <si>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</si>
  <si>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</si>
  <si>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</si>
  <si>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</si>
  <si>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</si>
  <si>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</si>
  <si>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</si>
  <si>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</si>
  <si>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</si>
  <si>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</si>
  <si>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</si>
  <si>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</si>
  <si>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</si>
  <si>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</si>
  <si>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</si>
  <si>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</si>
  <si>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</si>
  <si>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</si>
  <si>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</si>
  <si>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</si>
  <si>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</si>
  <si>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</si>
  <si>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</si>
  <si>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</si>
  <si>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</si>
  <si>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</si>
  <si>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A.7 Physical controls</t>
  </si>
  <si>
    <t>A.8 Technological controls</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</si>
  <si>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</si>
  <si>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</si>
  <si>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</si>
  <si>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</si>
  <si>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</si>
  <si>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</si>
  <si>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</si>
  <si>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</si>
  <si>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</si>
  <si>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</si>
  <si>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</si>
  <si>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</si>
  <si>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</si>
  <si>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</si>
  <si>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</si>
  <si>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</si>
  <si>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</si>
  <si>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</si>
  <si>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</si>
  <si>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</si>
  <si>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</si>
  <si>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</si>
  <si>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</si>
  <si>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</si>
  <si>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</si>
  <si>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</si>
  <si>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</si>
  <si>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</si>
  <si>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</si>
  <si>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</si>
  <si>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</si>
  <si>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</si>
  <si>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</si>
  <si>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</si>
  <si>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r>
      <rPr>
        <b/>
        <sz val="16"/>
        <color theme="2" tint="-0.499984740745262"/>
        <rFont val="Calibri"/>
        <family val="2"/>
        <scheme val="minor"/>
      </rPr>
      <t>General guidance</t>
    </r>
    <r>
      <rPr>
        <sz val="11"/>
        <color rgb="FF444444"/>
        <rFont val="Calibri"/>
        <family val="2"/>
        <scheme val="minor"/>
      </rPr>
      <t xml:space="preserve">
The key objective of the risk assessment is to ensure that all of the serious risks that need treatment are identified so that something can be done about them. Be careful not to make your risk assessment too large or complicated as much of the impact will be lost and it will be difficult to repeat at a later date. This tool is intended to be used to assess the effects of the proposed treatments also, so that the level of residual risk can be shown.
You may find that more than one control is applicable for a specific risk; if so you should list all of the controls in the same cell.
A summary of the type of risk that each Annex A control is intended to address is included to aid understanding and help in identifying risks. This may also be useful when completing your Statement of Applicability.</t>
    </r>
  </si>
  <si>
    <t>ISO/IEC 27001 Asset-based risk assessment and treatment tool dashboard</t>
  </si>
  <si>
    <t>التطبيقات</t>
  </si>
  <si>
    <t>تطبيق آفاق بلس</t>
  </si>
  <si>
    <t>استغلال ثغرات حقن SQL نتيجة عدم كفاية التحقق من صحة المدخلات</t>
  </si>
  <si>
    <t>3 ثغرات عالية الخطورة مكتشفة في آخر فحص ولم تُعالج بالكامل</t>
  </si>
  <si>
    <t>مدير تقنية المعلومات</t>
  </si>
  <si>
    <t>فحص ثغرات ربع سنوي خارجي، وتثبيت جدار حماية تطبيقات الويب</t>
  </si>
  <si>
    <t>الثغرات موثقة ولم تُعالج منذ الفحص الأخير رغم معرفة البنك بها</t>
  </si>
  <si>
    <t>قد يؤدي الاستغلال الى اختراق بيانات مالية لعملاء يستخدمون التطبيق الرئيسي، وتوقف الخدمة</t>
  </si>
  <si>
    <t>معالجة الثلاث الثغرات عالية الخطورة فورًا، زتطبيق مراجعة الكود الآمن، وعمل دورة إختبار إختراق قبل كل إصدار</t>
  </si>
  <si>
    <t>A.8.28 Secure coding           A.8.29 Security testing in development and acceptance</t>
  </si>
  <si>
    <t>متوسطة</t>
  </si>
  <si>
    <t>فريق تطوير البرمجيات</t>
  </si>
  <si>
    <t>30 يوم</t>
  </si>
  <si>
    <t>تمت معالجة ثغرتين من أصل ثلاث</t>
  </si>
  <si>
    <t>معالجة الثغرات وتطبيق اختبار اختراق دوري يقلل احتمالية تكرار حدوث الثغرة</t>
  </si>
  <si>
    <t>يبقى أثر محتمل نتيجة تعقيد التطبيق وتكرار عمليات التطوير</t>
  </si>
  <si>
    <t>هذا الخطر مرتبط مباشرة بنتائج فحص الثغرات في القسم 4.6 من ملف دراسة الحالة</t>
  </si>
  <si>
    <t>البنية التحتية للشبكات</t>
  </si>
  <si>
    <t>جدار الحماية الرئيسي (Palo Alto Networks)</t>
  </si>
  <si>
    <t xml:space="preserve">انقطاع كامل للخدمات المصرفية الرقمية </t>
  </si>
  <si>
    <t>غياب عملية المراجعة الثنائية للتغييرات الحرجة، وعدم وجود خطة تراجع سريعة</t>
  </si>
  <si>
    <t>مدير الشبكات</t>
  </si>
  <si>
    <t xml:space="preserve">فريق شبكات مؤهل  </t>
  </si>
  <si>
    <t>انقطاع الخدمة (وقع حادث مشابه قبل عامين وتسبب في انقطاع للخدمة لمدة 3 ساعات)</t>
  </si>
  <si>
    <t>انقطاعات في أوقات العمل أو في أوقات الذروة مما يؤدي إلى خسارة العملاء</t>
  </si>
  <si>
    <t>تطبيق  إجراء موافقة ثنائية إلزامية لكل تغيير حرج على الشبكة والأنظمة، مع وضع خطة تراجع موثقة ومختبره</t>
  </si>
  <si>
    <t>منخفضة</t>
  </si>
  <si>
    <t>60 يوم</t>
  </si>
  <si>
    <t>لم يبدأ بعد</t>
  </si>
  <si>
    <t>إجراء الموافقة الثنائية يقلل احتمالية تكرار الخطأ البشري</t>
  </si>
  <si>
    <t>يبقى أثر توقف الخدمات عاليًا في حال حدوثه لأسباب أخرى</t>
  </si>
  <si>
    <t>بيانات العملاء</t>
  </si>
  <si>
    <t>بيانات العملاء الشخصية والمالية على الأجهزة المحمولة للموظفين</t>
  </si>
  <si>
    <t>فقدان أو سرقة احد الأجهزة الشخصية الذي تحتوي على بيانات العملاء</t>
  </si>
  <si>
    <t>عدم تفعيل سياسة تشفير القرص الكامل على جميع أجهزة البنك</t>
  </si>
  <si>
    <t>مدير أمن المعلومات CISO</t>
  </si>
  <si>
    <t xml:space="preserve">لايوجد تشفير شامل مطبق حاليا على كل أجهزة البنك </t>
  </si>
  <si>
    <t>وقعت حادثة فقدان جهاز غير مشفر قبل 9 أشهر</t>
  </si>
  <si>
    <t>أدت الحادثة السابقة إلى غرامة تنظيمية  وإخطار العملاء المتأثرين</t>
  </si>
  <si>
    <t>وجوب تفعيل تشفير القرص الكامل على جميع الأجهزة المحمولة قبل تسليمها للموظفين</t>
  </si>
  <si>
    <t>A.8.24 (Use of cryptography), A.8.1 (User endpoint devices)</t>
  </si>
  <si>
    <t>إدارة تقنية المعلومات</t>
  </si>
  <si>
    <t>45 يوم</t>
  </si>
  <si>
    <t>قيد التنفيذ الفني</t>
  </si>
  <si>
    <t>التشفير الشامل يقلل احتمالية تسريب البيانات عند الفقدان بشكل كبير</t>
  </si>
  <si>
    <t>يبقى أثر محدود يتعلق بالإجراءات التنظيمية والإبلاغ</t>
  </si>
  <si>
    <t>مرتبط بحادثة السرقة 4.3</t>
  </si>
  <si>
    <t>البريد الإلكتروني والموظفون</t>
  </si>
  <si>
    <t>نظام البريد الإلكتروني المؤسسي وموظفو الإدارة المالية</t>
  </si>
  <si>
    <r>
      <rPr>
        <sz val="11"/>
        <color theme="1"/>
        <rFont val="FreeSans"/>
        <family val="2"/>
      </rPr>
      <t xml:space="preserve">ضعف الوعي الأمني لدى بعض الموظفين وعدم تقديم تدريب توعوي إضافي بعد الحادثة السابقة </t>
    </r>
    <r>
      <rPr>
        <sz val="11"/>
        <color theme="1"/>
        <rFont val="Calibri"/>
        <family val="2"/>
        <scheme val="minor"/>
      </rPr>
      <t>(</t>
    </r>
    <r>
      <rPr>
        <sz val="11"/>
        <color theme="1"/>
        <rFont val="FreeSans"/>
        <family val="2"/>
      </rPr>
      <t xml:space="preserve">القسم </t>
    </r>
    <r>
      <rPr>
        <sz val="11"/>
        <color theme="1"/>
        <rFont val="Calibri"/>
        <family val="2"/>
        <scheme val="minor"/>
      </rPr>
      <t xml:space="preserve">4.2 </t>
    </r>
    <r>
      <rPr>
        <sz val="11"/>
        <color theme="1"/>
        <rFont val="FreeSans"/>
        <family val="2"/>
      </rPr>
      <t>و</t>
    </r>
    <r>
      <rPr>
        <sz val="11"/>
        <color theme="1"/>
        <rFont val="Calibri"/>
        <family val="2"/>
        <scheme val="minor"/>
      </rPr>
      <t>4.7)</t>
    </r>
  </si>
  <si>
    <r>
      <rPr>
        <sz val="11"/>
        <color theme="1"/>
        <rFont val="FreeSans"/>
        <family val="2"/>
      </rPr>
      <t xml:space="preserve">مدير الإدارة المالية </t>
    </r>
    <r>
      <rPr>
        <sz val="11"/>
        <color theme="1"/>
        <rFont val="Calibri"/>
        <family val="2"/>
        <scheme val="minor"/>
      </rPr>
      <t>/ CISO</t>
    </r>
  </si>
  <si>
    <t>برنامج توعية وتدريب دوري إلزامي مع محاكاة تصيد ربع سنوية، وإلزامية التحقق الهاتفي المزدوج لأي طلب تحويل</t>
  </si>
  <si>
    <t>A.6.3 (Information security awareness), A.5.7 (Threat intelligence)</t>
  </si>
  <si>
    <r>
      <rPr>
        <sz val="11"/>
        <color theme="1"/>
        <rFont val="FreeSans"/>
        <family val="2"/>
      </rPr>
      <t xml:space="preserve">الموارد البشرية </t>
    </r>
    <r>
      <rPr>
        <sz val="11"/>
        <color theme="1"/>
        <rFont val="Calibri"/>
        <family val="2"/>
        <scheme val="minor"/>
      </rPr>
      <t>/ CISO</t>
    </r>
  </si>
  <si>
    <r>
      <rPr>
        <sz val="11"/>
        <color theme="1"/>
        <rFont val="Calibri"/>
        <family val="2"/>
        <scheme val="minor"/>
      </rPr>
      <t xml:space="preserve">90 </t>
    </r>
    <r>
      <rPr>
        <sz val="11"/>
        <color theme="1"/>
        <rFont val="FreeSans"/>
        <family val="2"/>
      </rPr>
      <t>يوماً</t>
    </r>
  </si>
  <si>
    <t>لم يبدأ</t>
  </si>
  <si>
    <t>التدريب المستمر يرفع نسبة الإبلاغ ويقلل نسبة النقر تدريجياً</t>
  </si>
  <si>
    <t>يبقى أثر الهندسة الاجتماعية قائماً بطبيعته حتى مع التدريب</t>
  </si>
  <si>
    <r>
      <rPr>
        <sz val="11"/>
        <color theme="1"/>
        <rFont val="FreeSans"/>
        <family val="2"/>
      </rPr>
      <t xml:space="preserve">مرتبطة بحادثتي القسم </t>
    </r>
    <r>
      <rPr>
        <sz val="11"/>
        <color theme="1"/>
        <rFont val="Calibri"/>
        <family val="2"/>
        <scheme val="minor"/>
      </rPr>
      <t xml:space="preserve">4.2 </t>
    </r>
    <r>
      <rPr>
        <sz val="11"/>
        <color theme="1"/>
        <rFont val="FreeSans"/>
        <family val="2"/>
      </rPr>
      <t>و</t>
    </r>
    <r>
      <rPr>
        <sz val="11"/>
        <color theme="1"/>
        <rFont val="Calibri"/>
        <family val="2"/>
        <scheme val="minor"/>
      </rPr>
      <t>4.7</t>
    </r>
  </si>
  <si>
    <t>البنية التحتية للشبكة</t>
  </si>
  <si>
    <r>
      <rPr>
        <sz val="11"/>
        <color theme="1"/>
        <rFont val="FreeSans"/>
        <family val="2"/>
      </rPr>
      <t xml:space="preserve">شهادات </t>
    </r>
    <r>
      <rPr>
        <sz val="11"/>
        <color theme="1"/>
        <rFont val="Calibri"/>
        <family val="2"/>
        <scheme val="minor"/>
      </rPr>
      <t xml:space="preserve">TLS/SSL </t>
    </r>
    <r>
      <rPr>
        <sz val="11"/>
        <color theme="1"/>
        <rFont val="FreeSans"/>
        <family val="2"/>
      </rPr>
      <t>لموقع البنك الإلكتروني وبوابة الخدمات المصرفية</t>
    </r>
  </si>
  <si>
    <t>انتهاء صلاحية شهادة رقمية دون تجديد يؤدي لظهور تحذيرات أمنية للعملاء</t>
  </si>
  <si>
    <r>
      <rPr>
        <sz val="11"/>
        <color theme="1"/>
        <rFont val="FreeSans"/>
        <family val="2"/>
      </rPr>
      <t xml:space="preserve">عدم وجود نظام آلي لمراقبة تواريخ انتهاء صلاحية الشهادات وتجديدها </t>
    </r>
    <r>
      <rPr>
        <sz val="11"/>
        <color theme="1"/>
        <rFont val="Calibri"/>
        <family val="2"/>
        <scheme val="minor"/>
      </rPr>
      <t>(</t>
    </r>
    <r>
      <rPr>
        <sz val="11"/>
        <color theme="1"/>
        <rFont val="FreeSans"/>
        <family val="2"/>
      </rPr>
      <t xml:space="preserve">القسم </t>
    </r>
    <r>
      <rPr>
        <sz val="11"/>
        <color theme="1"/>
        <rFont val="Calibri"/>
        <family val="2"/>
        <scheme val="minor"/>
      </rPr>
      <t>4.4)</t>
    </r>
  </si>
  <si>
    <t>لا يوجد نظام مراقبة آلي حالياً</t>
  </si>
  <si>
    <r>
      <rPr>
        <sz val="11"/>
        <color theme="1"/>
        <rFont val="FreeSans"/>
        <family val="2"/>
      </rPr>
      <t xml:space="preserve">وقعت حادثة مماثلة فعلياً قبل </t>
    </r>
    <r>
      <rPr>
        <sz val="11"/>
        <color theme="1"/>
        <rFont val="Calibri"/>
        <family val="2"/>
        <scheme val="minor"/>
      </rPr>
      <t xml:space="preserve">6 </t>
    </r>
    <r>
      <rPr>
        <sz val="11"/>
        <color theme="1"/>
        <rFont val="FreeSans"/>
        <family val="2"/>
      </rPr>
      <t xml:space="preserve">أشهر واستمرت </t>
    </r>
    <r>
      <rPr>
        <sz val="11"/>
        <color theme="1"/>
        <rFont val="Calibri"/>
        <family val="2"/>
        <scheme val="minor"/>
      </rPr>
      <t xml:space="preserve">4 </t>
    </r>
    <r>
      <rPr>
        <sz val="11"/>
        <color theme="1"/>
        <rFont val="FreeSans"/>
        <family val="2"/>
      </rPr>
      <t>ساعات قبل اكتشافها</t>
    </r>
  </si>
  <si>
    <t>أضرار سمعة كبيرة على وسائل التواصل الاجتماعي استغرق تجاوزها أسبوعاً كاملاً</t>
  </si>
  <si>
    <t>نشر نظام آلي لمراقبة تواريخ انتهاء جميع الشهادات الرقمية مع تنبيهات مسبقة وتجديد تلقائي حيثما أمكن</t>
  </si>
  <si>
    <t>A.8.24 (Use of cryptography)</t>
  </si>
  <si>
    <t>فريق الشبكات</t>
  </si>
  <si>
    <r>
      <rPr>
        <sz val="11"/>
        <color theme="1"/>
        <rFont val="Calibri"/>
        <family val="2"/>
        <scheme val="minor"/>
      </rPr>
      <t xml:space="preserve">30 </t>
    </r>
    <r>
      <rPr>
        <sz val="11"/>
        <color theme="1"/>
        <rFont val="FreeSans"/>
        <family val="2"/>
      </rPr>
      <t>يوماً</t>
    </r>
  </si>
  <si>
    <t>المراقبة الآلية تكاد تُلغي احتمال تكرار هذا الخطر</t>
  </si>
  <si>
    <t>قد يبقى أثر محدود لسمعة البنك في حال حدوث أي تأخير طفيف</t>
  </si>
  <si>
    <r>
      <rPr>
        <sz val="11"/>
        <color theme="1"/>
        <rFont val="FreeSans"/>
        <family val="2"/>
      </rPr>
      <t xml:space="preserve">مرتبطة بحادثة القسم </t>
    </r>
    <r>
      <rPr>
        <sz val="11"/>
        <color theme="1"/>
        <rFont val="Calibri"/>
        <family val="2"/>
        <scheme val="minor"/>
      </rPr>
      <t>4.4</t>
    </r>
  </si>
  <si>
    <t>بيانات الموارد البشرية</t>
  </si>
  <si>
    <r>
      <rPr>
        <sz val="11"/>
        <color theme="1"/>
        <rFont val="FreeSans"/>
        <family val="2"/>
      </rPr>
      <t xml:space="preserve">مجلدات شبكة إدارة الموارد البشرية </t>
    </r>
    <r>
      <rPr>
        <sz val="11"/>
        <color theme="1"/>
        <rFont val="Calibri"/>
        <family val="2"/>
        <scheme val="minor"/>
      </rPr>
      <t>(</t>
    </r>
    <r>
      <rPr>
        <sz val="11"/>
        <color theme="1"/>
        <rFont val="FreeSans"/>
        <family val="2"/>
      </rPr>
      <t>رواتب وملفات شخصية</t>
    </r>
    <r>
      <rPr>
        <sz val="11"/>
        <color theme="1"/>
        <rFont val="Calibri"/>
        <family val="2"/>
        <scheme val="minor"/>
      </rPr>
      <t>)</t>
    </r>
  </si>
  <si>
    <t>وصول غير مصرح به من موظفي تقنية المعلومات إلى بيانات الموارد البشرية</t>
  </si>
  <si>
    <r>
      <rPr>
        <sz val="11"/>
        <color theme="1"/>
        <rFont val="FreeSans"/>
        <family val="2"/>
      </rPr>
      <t xml:space="preserve">صلاحيات وصول موروثة من مشروع تكامل سابق لم تُلغَ بعد انتهائه منذ عامين </t>
    </r>
    <r>
      <rPr>
        <sz val="11"/>
        <color theme="1"/>
        <rFont val="Calibri"/>
        <family val="2"/>
        <scheme val="minor"/>
      </rPr>
      <t>(</t>
    </r>
    <r>
      <rPr>
        <sz val="11"/>
        <color theme="1"/>
        <rFont val="FreeSans"/>
        <family val="2"/>
      </rPr>
      <t xml:space="preserve">القسم </t>
    </r>
    <r>
      <rPr>
        <sz val="11"/>
        <color theme="1"/>
        <rFont val="Calibri"/>
        <family val="2"/>
        <scheme val="minor"/>
      </rPr>
      <t>4.5)</t>
    </r>
  </si>
  <si>
    <r>
      <rPr>
        <sz val="11"/>
        <color theme="1"/>
        <rFont val="FreeSans"/>
        <family val="2"/>
      </rPr>
      <t xml:space="preserve">مدير الموارد البشرية </t>
    </r>
    <r>
      <rPr>
        <sz val="11"/>
        <color theme="1"/>
        <rFont val="Calibri"/>
        <family val="2"/>
        <scheme val="minor"/>
      </rPr>
      <t>/ CISO</t>
    </r>
  </si>
  <si>
    <t>لا توجد عملية مراجعة دورية موثقة لصلاحيات الوصول</t>
  </si>
  <si>
    <t>اكتُشفت الصلاحيات الزائدة فعلياً خلال مراجعة روتينية، دون دليل على استغلال حتى الآن</t>
  </si>
  <si>
    <r>
      <rPr>
        <sz val="11"/>
        <color theme="1"/>
        <rFont val="FreeSans"/>
        <family val="2"/>
      </rPr>
      <t>تشمل بيانات رواتب وملفات شخصية كاملة لـ</t>
    </r>
    <r>
      <rPr>
        <sz val="11"/>
        <color theme="1"/>
        <rFont val="Calibri"/>
        <family val="2"/>
        <scheme val="minor"/>
      </rPr>
      <t xml:space="preserve">2,500 </t>
    </r>
    <r>
      <rPr>
        <sz val="11"/>
        <color theme="1"/>
        <rFont val="FreeSans"/>
        <family val="2"/>
      </rPr>
      <t>موظف</t>
    </r>
  </si>
  <si>
    <r>
      <rPr>
        <sz val="11"/>
        <color theme="1"/>
        <rFont val="FreeSans"/>
        <family val="2"/>
      </rPr>
      <t xml:space="preserve">تطبيق مراجعة دورية ربع سنوية لصلاحيات الوصول </t>
    </r>
    <r>
      <rPr>
        <sz val="11"/>
        <color theme="1"/>
        <rFont val="Calibri"/>
        <family val="2"/>
        <scheme val="minor"/>
      </rPr>
      <t xml:space="preserve">(Access Recertification) </t>
    </r>
    <r>
      <rPr>
        <sz val="11"/>
        <color theme="1"/>
        <rFont val="FreeSans"/>
        <family val="2"/>
      </rPr>
      <t>وإلغاء الصلاحيات غير المستخدمة فوراً</t>
    </r>
  </si>
  <si>
    <t>A.5.18 (Access rights), A.8.2 (Privileged access rights)</t>
  </si>
  <si>
    <t>إدارة أمن المعلومات</t>
  </si>
  <si>
    <r>
      <rPr>
        <sz val="11"/>
        <color theme="1"/>
        <rFont val="Calibri"/>
        <family val="2"/>
        <scheme val="minor"/>
      </rPr>
      <t xml:space="preserve">45 </t>
    </r>
    <r>
      <rPr>
        <sz val="11"/>
        <color theme="1"/>
        <rFont val="FreeSans"/>
        <family val="2"/>
      </rPr>
      <t>يوماً</t>
    </r>
  </si>
  <si>
    <t>قيد التخطيط</t>
  </si>
  <si>
    <t>المراجعة الدورية تقلل بشكل كبير احتمالية بقاء صلاحيات زائدة</t>
  </si>
  <si>
    <t>الأثر يبقى مرتفعاً نسبياً في حال إغفال المراجعة لأي سبب</t>
  </si>
  <si>
    <r>
      <rPr>
        <sz val="11"/>
        <color theme="1"/>
        <rFont val="FreeSans"/>
        <family val="2"/>
      </rPr>
      <t xml:space="preserve">مرتبطة بحادثة القسم </t>
    </r>
    <r>
      <rPr>
        <sz val="11"/>
        <color theme="1"/>
        <rFont val="Calibri"/>
        <family val="2"/>
        <scheme val="minor"/>
      </rPr>
      <t>4.5</t>
    </r>
  </si>
  <si>
    <t>قواعد البيانات</t>
  </si>
  <si>
    <r>
      <rPr>
        <sz val="11"/>
        <color theme="1"/>
        <rFont val="FreeSans"/>
        <family val="2"/>
      </rPr>
      <t xml:space="preserve">قاعدة بيانات العملاء الرئيسية </t>
    </r>
    <r>
      <rPr>
        <sz val="11"/>
        <color theme="1"/>
        <rFont val="Calibri"/>
        <family val="2"/>
        <scheme val="minor"/>
      </rPr>
      <t>(Oracle)</t>
    </r>
  </si>
  <si>
    <r>
      <rPr>
        <sz val="11"/>
        <color theme="1"/>
        <rFont val="FreeSans"/>
        <family val="2"/>
      </rPr>
      <t xml:space="preserve">هجوم فدية </t>
    </r>
    <r>
      <rPr>
        <sz val="11"/>
        <color theme="1"/>
        <rFont val="Calibri"/>
        <family val="2"/>
        <scheme val="minor"/>
      </rPr>
      <t xml:space="preserve">(Ransomware) </t>
    </r>
    <r>
      <rPr>
        <sz val="11"/>
        <color theme="1"/>
        <rFont val="FreeSans"/>
        <family val="2"/>
      </rPr>
      <t>يستهدف تشفير بيانات العملاء والمطالبة بفدية</t>
    </r>
  </si>
  <si>
    <r>
      <rPr>
        <sz val="11"/>
        <color theme="1"/>
        <rFont val="FreeSans"/>
        <family val="2"/>
      </rPr>
      <t xml:space="preserve">عدم وجود نظام </t>
    </r>
    <r>
      <rPr>
        <sz val="11"/>
        <color theme="1"/>
        <rFont val="Calibri"/>
        <family val="2"/>
        <scheme val="minor"/>
      </rPr>
      <t xml:space="preserve">SIEM </t>
    </r>
    <r>
      <rPr>
        <sz val="11"/>
        <color theme="1"/>
        <rFont val="FreeSans"/>
        <family val="2"/>
      </rPr>
      <t xml:space="preserve">لرصد الأنشطة المشبوهة في الوقت الفعلي؛ التحليل يتم يدوياً </t>
    </r>
    <r>
      <rPr>
        <sz val="11"/>
        <color theme="1"/>
        <rFont val="Calibri"/>
        <family val="2"/>
        <scheme val="minor"/>
      </rPr>
      <t>(</t>
    </r>
    <r>
      <rPr>
        <sz val="11"/>
        <color theme="1"/>
        <rFont val="FreeSans"/>
        <family val="2"/>
      </rPr>
      <t xml:space="preserve">القسم </t>
    </r>
    <r>
      <rPr>
        <sz val="11"/>
        <color theme="1"/>
        <rFont val="Calibri"/>
        <family val="2"/>
        <scheme val="minor"/>
      </rPr>
      <t>3.2)</t>
    </r>
  </si>
  <si>
    <r>
      <rPr>
        <sz val="11"/>
        <color theme="1"/>
        <rFont val="Calibri"/>
        <family val="2"/>
        <scheme val="minor"/>
      </rPr>
      <t xml:space="preserve">CISO / </t>
    </r>
    <r>
      <rPr>
        <sz val="11"/>
        <color theme="1"/>
        <rFont val="FreeSans"/>
        <family val="2"/>
      </rPr>
      <t>مدير قواعد البيانات</t>
    </r>
  </si>
  <si>
    <r>
      <rPr>
        <sz val="11"/>
        <color theme="1"/>
        <rFont val="FreeSans"/>
        <family val="2"/>
      </rPr>
      <t xml:space="preserve">نسخ احتياطي عبر </t>
    </r>
    <r>
      <rPr>
        <sz val="11"/>
        <color theme="1"/>
        <rFont val="Calibri"/>
        <family val="2"/>
        <scheme val="minor"/>
      </rPr>
      <t>NetBackup Veritas</t>
    </r>
    <r>
      <rPr>
        <sz val="11"/>
        <color theme="1"/>
        <rFont val="FreeSans"/>
        <family val="2"/>
      </rPr>
      <t>؛ مركز تعافٍ في جدة</t>
    </r>
  </si>
  <si>
    <r>
      <rPr>
        <sz val="11"/>
        <color theme="1"/>
        <rFont val="FreeSans"/>
        <family val="2"/>
      </rPr>
      <t xml:space="preserve">تهديد فدية معروف ومتصاعد يستهدف القطاع المصرفي محلياً وعالمياً </t>
    </r>
    <r>
      <rPr>
        <sz val="11"/>
        <color theme="1"/>
        <rFont val="Calibri"/>
        <family val="2"/>
        <scheme val="minor"/>
      </rPr>
      <t>(</t>
    </r>
    <r>
      <rPr>
        <sz val="11"/>
        <color theme="1"/>
        <rFont val="FreeSans"/>
        <family val="2"/>
      </rPr>
      <t xml:space="preserve">القسم </t>
    </r>
    <r>
      <rPr>
        <sz val="11"/>
        <color theme="1"/>
        <rFont val="Calibri"/>
        <family val="2"/>
        <scheme val="minor"/>
      </rPr>
      <t>1.4)</t>
    </r>
  </si>
  <si>
    <r>
      <rPr>
        <sz val="11"/>
        <color theme="1"/>
        <rFont val="FreeSans"/>
        <family val="2"/>
      </rPr>
      <t xml:space="preserve">قد يوقف كامل العمليات المصرفية الأساسية ويعرّض بيانات أكثر من </t>
    </r>
    <r>
      <rPr>
        <sz val="11"/>
        <color theme="1"/>
        <rFont val="Calibri"/>
        <family val="2"/>
        <scheme val="minor"/>
      </rPr>
      <t xml:space="preserve">500,000 </t>
    </r>
    <r>
      <rPr>
        <sz val="11"/>
        <color theme="1"/>
        <rFont val="FreeSans"/>
        <family val="2"/>
      </rPr>
      <t>عميل للخطر</t>
    </r>
  </si>
  <si>
    <r>
      <rPr>
        <sz val="11"/>
        <color theme="1"/>
        <rFont val="FreeSans"/>
        <family val="2"/>
      </rPr>
      <t xml:space="preserve">نشر حل </t>
    </r>
    <r>
      <rPr>
        <sz val="11"/>
        <color theme="1"/>
        <rFont val="Calibri"/>
        <family val="2"/>
        <scheme val="minor"/>
      </rPr>
      <t xml:space="preserve">SIEM </t>
    </r>
    <r>
      <rPr>
        <sz val="11"/>
        <color theme="1"/>
        <rFont val="FreeSans"/>
        <family val="2"/>
      </rPr>
      <t>لمراقبة أمنية مستمرة على مدار الساعة، مع اختبار دوري موثق لخطط الاستعادة من النسخ الاحتياطي</t>
    </r>
  </si>
  <si>
    <t>A.8.16 (Monitoring activities), A.8.13 (Information backup)</t>
  </si>
  <si>
    <t>عالية</t>
  </si>
  <si>
    <r>
      <rPr>
        <sz val="11"/>
        <color theme="1"/>
        <rFont val="Calibri"/>
        <family val="2"/>
        <scheme val="minor"/>
      </rPr>
      <t xml:space="preserve">120 </t>
    </r>
    <r>
      <rPr>
        <sz val="11"/>
        <color theme="1"/>
        <rFont val="FreeSans"/>
        <family val="2"/>
      </rPr>
      <t>يوماً</t>
    </r>
  </si>
  <si>
    <t>المراقبة الاستباقية تتيح اكتشاف الهجوم مبكراً قبل اكتمال التشفير</t>
  </si>
  <si>
    <t>يبقى الأثر عالياً في حال نجاح الهجوم نظراً لحساسية البيانات</t>
  </si>
  <si>
    <t>بيئات التطوير والاختبار</t>
  </si>
  <si>
    <t>بيئة اختبار تطبيق آفاق بلس ومنصة آفاق نت</t>
  </si>
  <si>
    <t>تسرب بيانات عملاء حقيقية مستخدمة في بيئة الاختبار إلى طرف غير مصرح له</t>
  </si>
  <si>
    <r>
      <rPr>
        <sz val="11"/>
        <color theme="1"/>
        <rFont val="FreeSans"/>
        <family val="2"/>
      </rPr>
      <t xml:space="preserve">استخدام بيانات إنتاج حقيقية في بيئة الاختبار بدلاً من بيانات مقنّعة </t>
    </r>
    <r>
      <rPr>
        <sz val="11"/>
        <color theme="1"/>
        <rFont val="Calibri"/>
        <family val="2"/>
        <scheme val="minor"/>
      </rPr>
      <t>(</t>
    </r>
    <r>
      <rPr>
        <sz val="11"/>
        <color theme="1"/>
        <rFont val="FreeSans"/>
        <family val="2"/>
      </rPr>
      <t xml:space="preserve">مُستنتج </t>
    </r>
    <r>
      <rPr>
        <sz val="11"/>
        <color theme="1"/>
        <rFont val="Calibri"/>
        <family val="2"/>
        <scheme val="minor"/>
      </rPr>
      <t xml:space="preserve">- </t>
    </r>
    <r>
      <rPr>
        <sz val="11"/>
        <color theme="1"/>
        <rFont val="FreeSans"/>
        <family val="2"/>
      </rPr>
      <t xml:space="preserve">القسم </t>
    </r>
    <r>
      <rPr>
        <sz val="11"/>
        <color theme="1"/>
        <rFont val="Calibri"/>
        <family val="2"/>
        <scheme val="minor"/>
      </rPr>
      <t>6.2)</t>
    </r>
  </si>
  <si>
    <t>مدير تطوير البرمجيات</t>
  </si>
  <si>
    <t>عزل مفترض بين بيئات التطوير والإنتاج، فعاليته غير موثقة</t>
  </si>
  <si>
    <t>ممارسة شائعة في المشاريع التقنية عند غياب ضوابط إخفاء البيانات</t>
  </si>
  <si>
    <t>تعرّض بيانات حساسة لشركة تطوير خارجية متعاقدة تتجاوز نطاق الحاجة الفعلية</t>
  </si>
  <si>
    <r>
      <rPr>
        <sz val="11"/>
        <color theme="1"/>
        <rFont val="FreeSans"/>
        <family val="2"/>
      </rPr>
      <t xml:space="preserve">تطبيق تقنيات إخفاء وتمويه البيانات </t>
    </r>
    <r>
      <rPr>
        <sz val="11"/>
        <color theme="1"/>
        <rFont val="Calibri"/>
        <family val="2"/>
        <scheme val="minor"/>
      </rPr>
      <t xml:space="preserve">(Data Masking/Anonymization) </t>
    </r>
    <r>
      <rPr>
        <sz val="11"/>
        <color theme="1"/>
        <rFont val="FreeSans"/>
        <family val="2"/>
      </rPr>
      <t>قبل استخدامها في أي بيئة اختبار</t>
    </r>
  </si>
  <si>
    <t>A.8.33 (Test information), A.8.31 (Separation of environments)</t>
  </si>
  <si>
    <r>
      <rPr>
        <sz val="11"/>
        <color theme="1"/>
        <rFont val="Calibri"/>
        <family val="2"/>
        <scheme val="minor"/>
      </rPr>
      <t xml:space="preserve">60 </t>
    </r>
    <r>
      <rPr>
        <sz val="11"/>
        <color theme="1"/>
        <rFont val="FreeSans"/>
        <family val="2"/>
      </rPr>
      <t>يوماً</t>
    </r>
  </si>
  <si>
    <t>إخفاء البيانات يُلغي عملياً قيمة أي تسرب من بيئة الاختبار</t>
  </si>
  <si>
    <t>أثر محدود متبقٍ يتعلق بجودة أو واقعية بيانات الاختبار</t>
  </si>
  <si>
    <t>الموردون والخدمات السحابية</t>
  </si>
  <si>
    <r>
      <rPr>
        <sz val="11"/>
        <color theme="1"/>
        <rFont val="FreeSans"/>
        <family val="2"/>
      </rPr>
      <t xml:space="preserve">خدمات الحوسبة السحابية </t>
    </r>
    <r>
      <rPr>
        <sz val="11"/>
        <color theme="1"/>
        <rFont val="Calibri"/>
        <family val="2"/>
        <scheme val="minor"/>
      </rPr>
      <t xml:space="preserve">(AWS) </t>
    </r>
    <r>
      <rPr>
        <sz val="11"/>
        <color theme="1"/>
        <rFont val="FreeSans"/>
        <family val="2"/>
      </rPr>
      <t>للأنظمة غير الحرجة</t>
    </r>
  </si>
  <si>
    <t>إساءة تكوين أو استغلال ثغرة أمنية لدى مزود الخدمة السحابية</t>
  </si>
  <si>
    <r>
      <rPr>
        <sz val="11"/>
        <color theme="1"/>
        <rFont val="FreeSans"/>
        <family val="2"/>
      </rPr>
      <t xml:space="preserve">عدم وجود متطلبات أمنية تعاقدية موثقة بشكل كافٍ مع المزود </t>
    </r>
    <r>
      <rPr>
        <sz val="11"/>
        <color theme="1"/>
        <rFont val="Calibri"/>
        <family val="2"/>
        <scheme val="minor"/>
      </rPr>
      <t>(</t>
    </r>
    <r>
      <rPr>
        <sz val="11"/>
        <color theme="1"/>
        <rFont val="FreeSans"/>
        <family val="2"/>
      </rPr>
      <t xml:space="preserve">مُستنتج </t>
    </r>
    <r>
      <rPr>
        <sz val="11"/>
        <color theme="1"/>
        <rFont val="Calibri"/>
        <family val="2"/>
        <scheme val="minor"/>
      </rPr>
      <t xml:space="preserve">- </t>
    </r>
    <r>
      <rPr>
        <sz val="11"/>
        <color theme="1"/>
        <rFont val="FreeSans"/>
        <family val="2"/>
      </rPr>
      <t xml:space="preserve">القسم </t>
    </r>
    <r>
      <rPr>
        <sz val="11"/>
        <color theme="1"/>
        <rFont val="Calibri"/>
        <family val="2"/>
        <scheme val="minor"/>
      </rPr>
      <t>5.2)</t>
    </r>
  </si>
  <si>
    <t>اتفاقية استخدام مقبول عامة مع المزود</t>
  </si>
  <si>
    <t>مزود عالمي معروف بمعايير أمنية عالية، لكن الإعدادات من مسؤولية البنك</t>
  </si>
  <si>
    <t>الأنظمة المستضافة مصنفة غير حرجة حالياً حسب وصف الملف</t>
  </si>
  <si>
    <r>
      <rPr>
        <sz val="11"/>
        <color theme="1"/>
        <rFont val="FreeSans"/>
        <family val="2"/>
      </rPr>
      <t xml:space="preserve">مراجعة اتفاقية مستوى الخدمة الأمنية وتطبيق ضوابط </t>
    </r>
    <r>
      <rPr>
        <sz val="11"/>
        <color theme="1"/>
        <rFont val="Calibri"/>
        <family val="2"/>
        <scheme val="minor"/>
      </rPr>
      <t xml:space="preserve">ISO/IEC 27017 </t>
    </r>
    <r>
      <rPr>
        <sz val="11"/>
        <color theme="1"/>
        <rFont val="FreeSans"/>
        <family val="2"/>
      </rPr>
      <t>و</t>
    </r>
    <r>
      <rPr>
        <sz val="11"/>
        <color theme="1"/>
        <rFont val="Calibri"/>
        <family val="2"/>
        <scheme val="minor"/>
      </rPr>
      <t xml:space="preserve">27018 </t>
    </r>
    <r>
      <rPr>
        <sz val="11"/>
        <color theme="1"/>
        <rFont val="FreeSans"/>
        <family val="2"/>
      </rPr>
      <t>الخاصة بالخدمات السحابية</t>
    </r>
  </si>
  <si>
    <t>A.5.19 (Supplier relationships), A.5.23 (Cloud services security)</t>
  </si>
  <si>
    <t>توثيق المتطلبات الأمنية التعاقدية يقلل احتمالية الفجوات</t>
  </si>
  <si>
    <t>الأثر يبقى محدوداً نظراً لتصنيف الأنظمة كغير حرجة</t>
  </si>
  <si>
    <t>قنوات الخدمة الرقمية</t>
  </si>
  <si>
    <t>أجهزة الصراف الآلي وشبكة الخدمات المصرفية الرقمية</t>
  </si>
  <si>
    <r>
      <rPr>
        <sz val="11"/>
        <color theme="1"/>
        <rFont val="FreeSans"/>
        <family val="2"/>
      </rPr>
      <t xml:space="preserve">هجوم حجب خدمة موزع </t>
    </r>
    <r>
      <rPr>
        <sz val="11"/>
        <color theme="1"/>
        <rFont val="Calibri"/>
        <family val="2"/>
        <scheme val="minor"/>
      </rPr>
      <t xml:space="preserve">(DDoS) </t>
    </r>
    <r>
      <rPr>
        <sz val="11"/>
        <color theme="1"/>
        <rFont val="FreeSans"/>
        <family val="2"/>
      </rPr>
      <t>يستهدف تعطيل الخدمات المصرفية الرقمية</t>
    </r>
  </si>
  <si>
    <r>
      <rPr>
        <sz val="11"/>
        <color theme="1"/>
        <rFont val="FreeSans"/>
        <family val="2"/>
      </rPr>
      <t xml:space="preserve">عدم وجود حل متخصص للحماية من هجمات حجب الخدمة الموزعة الكبيرة الحجم </t>
    </r>
    <r>
      <rPr>
        <sz val="11"/>
        <color theme="1"/>
        <rFont val="Calibri"/>
        <family val="2"/>
        <scheme val="minor"/>
      </rPr>
      <t>(</t>
    </r>
    <r>
      <rPr>
        <sz val="11"/>
        <color theme="1"/>
        <rFont val="FreeSans"/>
        <family val="2"/>
      </rPr>
      <t xml:space="preserve">مُستنتج </t>
    </r>
    <r>
      <rPr>
        <sz val="11"/>
        <color theme="1"/>
        <rFont val="Calibri"/>
        <family val="2"/>
        <scheme val="minor"/>
      </rPr>
      <t xml:space="preserve">- </t>
    </r>
    <r>
      <rPr>
        <sz val="11"/>
        <color theme="1"/>
        <rFont val="FreeSans"/>
        <family val="2"/>
      </rPr>
      <t xml:space="preserve">القسم </t>
    </r>
    <r>
      <rPr>
        <sz val="11"/>
        <color theme="1"/>
        <rFont val="Calibri"/>
        <family val="2"/>
        <scheme val="minor"/>
      </rPr>
      <t>1.4</t>
    </r>
    <r>
      <rPr>
        <sz val="11"/>
        <color theme="1"/>
        <rFont val="FreeSans"/>
        <family val="2"/>
      </rPr>
      <t xml:space="preserve">، </t>
    </r>
    <r>
      <rPr>
        <sz val="11"/>
        <color theme="1"/>
        <rFont val="Calibri"/>
        <family val="2"/>
        <scheme val="minor"/>
      </rPr>
      <t>3.2)</t>
    </r>
  </si>
  <si>
    <r>
      <rPr>
        <sz val="11"/>
        <color theme="1"/>
        <rFont val="FreeSans"/>
        <family val="2"/>
      </rPr>
      <t xml:space="preserve">جدار حماية </t>
    </r>
    <r>
      <rPr>
        <sz val="11"/>
        <color theme="1"/>
        <rFont val="Calibri"/>
        <family val="2"/>
        <scheme val="minor"/>
      </rPr>
      <t xml:space="preserve">Palo Alto Networks </t>
    </r>
    <r>
      <rPr>
        <sz val="11"/>
        <color theme="1"/>
        <rFont val="FreeSans"/>
        <family val="2"/>
      </rPr>
      <t>بقدرات حماية أساسية</t>
    </r>
  </si>
  <si>
    <r>
      <rPr>
        <sz val="11"/>
        <color theme="1"/>
        <rFont val="FreeSans"/>
        <family val="2"/>
      </rPr>
      <t xml:space="preserve">أحد أبرز التهديدات المذكورة صراحة كمستهدف للقطاع المصرفي </t>
    </r>
    <r>
      <rPr>
        <sz val="11"/>
        <color theme="1"/>
        <rFont val="Calibri"/>
        <family val="2"/>
        <scheme val="minor"/>
      </rPr>
      <t>(</t>
    </r>
    <r>
      <rPr>
        <sz val="11"/>
        <color theme="1"/>
        <rFont val="FreeSans"/>
        <family val="2"/>
      </rPr>
      <t xml:space="preserve">القسم </t>
    </r>
    <r>
      <rPr>
        <sz val="11"/>
        <color theme="1"/>
        <rFont val="Calibri"/>
        <family val="2"/>
        <scheme val="minor"/>
      </rPr>
      <t>1.4)</t>
    </r>
  </si>
  <si>
    <t>قد يعطل الخدمات الرقمية وأجهزة الصراف الآلي في آن واحد</t>
  </si>
  <si>
    <r>
      <rPr>
        <sz val="11"/>
        <color theme="1"/>
        <rFont val="FreeSans"/>
        <family val="2"/>
      </rPr>
      <t xml:space="preserve">التعاقد مع خدمة حماية متخصصة ضد </t>
    </r>
    <r>
      <rPr>
        <sz val="11"/>
        <color theme="1"/>
        <rFont val="Calibri"/>
        <family val="2"/>
        <scheme val="minor"/>
      </rPr>
      <t xml:space="preserve">DDoS (Cloud Scrubbing) </t>
    </r>
    <r>
      <rPr>
        <sz val="11"/>
        <color theme="1"/>
        <rFont val="FreeSans"/>
        <family val="2"/>
      </rPr>
      <t>بالتنسيق مع مزود الإنترنت</t>
    </r>
  </si>
  <si>
    <t>A.8.20 (Networks security), A.8.22 (Segregation of networks)</t>
  </si>
  <si>
    <t>متوسطة إلى عالية</t>
  </si>
  <si>
    <t>خدمة الحماية المتخصصة تقلل بشكل كبير احتمالية نجاح الهجوم</t>
  </si>
  <si>
    <t>أثر متبقٍ في حال هجوم واسع النطاق يتجاوز سعة الحماية</t>
  </si>
  <si>
    <t>الأصول التقنية للمسؤولين</t>
  </si>
  <si>
    <t>حسابات وصلاحيات المسؤولين على الأنظمة الحساسة</t>
  </si>
  <si>
    <t>إساءة استخدام أو تسريب كلمات مرور حسابات المسؤولين</t>
  </si>
  <si>
    <r>
      <rPr>
        <sz val="11"/>
        <color theme="1"/>
        <rFont val="FreeSans"/>
        <family val="2"/>
      </rPr>
      <t xml:space="preserve">عدم وجود نظام إدارة كلمات مرور مميزة </t>
    </r>
    <r>
      <rPr>
        <sz val="11"/>
        <color theme="1"/>
        <rFont val="Calibri"/>
        <family val="2"/>
        <scheme val="minor"/>
      </rPr>
      <t>(PAM)</t>
    </r>
    <r>
      <rPr>
        <sz val="11"/>
        <color theme="1"/>
        <rFont val="FreeSans"/>
        <family val="2"/>
      </rPr>
      <t xml:space="preserve">؛ الإدارة تتم يدوياً حالياً </t>
    </r>
    <r>
      <rPr>
        <sz val="11"/>
        <color theme="1"/>
        <rFont val="Calibri"/>
        <family val="2"/>
        <scheme val="minor"/>
      </rPr>
      <t>(</t>
    </r>
    <r>
      <rPr>
        <sz val="11"/>
        <color theme="1"/>
        <rFont val="FreeSans"/>
        <family val="2"/>
      </rPr>
      <t xml:space="preserve">القسم </t>
    </r>
    <r>
      <rPr>
        <sz val="11"/>
        <color theme="1"/>
        <rFont val="Calibri"/>
        <family val="2"/>
        <scheme val="minor"/>
      </rPr>
      <t>3.2)</t>
    </r>
  </si>
  <si>
    <r>
      <rPr>
        <sz val="11"/>
        <color theme="1"/>
        <rFont val="FreeSans"/>
        <family val="2"/>
      </rPr>
      <t xml:space="preserve">مدير الشبكات </t>
    </r>
    <r>
      <rPr>
        <sz val="11"/>
        <color theme="1"/>
        <rFont val="Calibri"/>
        <family val="2"/>
        <scheme val="minor"/>
      </rPr>
      <t>/ CISO</t>
    </r>
  </si>
  <si>
    <r>
      <rPr>
        <sz val="11"/>
        <color theme="1"/>
        <rFont val="FreeSans"/>
        <family val="2"/>
      </rPr>
      <t xml:space="preserve">مصادقة متعددة العوامل </t>
    </r>
    <r>
      <rPr>
        <sz val="11"/>
        <color theme="1"/>
        <rFont val="Calibri"/>
        <family val="2"/>
        <scheme val="minor"/>
      </rPr>
      <t xml:space="preserve">(RSA SecurID) </t>
    </r>
    <r>
      <rPr>
        <sz val="11"/>
        <color theme="1"/>
        <rFont val="FreeSans"/>
        <family val="2"/>
      </rPr>
      <t>للوصول عن بُعد فقط</t>
    </r>
  </si>
  <si>
    <t>الإدارة اليدوية لكلمات مرور المسؤولين تزيد احتمالية التسريب أو إعادة الاستخدام</t>
  </si>
  <si>
    <t>قد يتيح وصولاً كاملاً لأنظمة حساسة متعددة في حال التسريب</t>
  </si>
  <si>
    <r>
      <rPr>
        <sz val="11"/>
        <color theme="1"/>
        <rFont val="FreeSans"/>
        <family val="2"/>
      </rPr>
      <t xml:space="preserve">نشر حل إدارة الوصول المميز </t>
    </r>
    <r>
      <rPr>
        <sz val="11"/>
        <color theme="1"/>
        <rFont val="Calibri"/>
        <family val="2"/>
        <scheme val="minor"/>
      </rPr>
      <t xml:space="preserve">(PAM) </t>
    </r>
    <r>
      <rPr>
        <sz val="11"/>
        <color theme="1"/>
        <rFont val="FreeSans"/>
        <family val="2"/>
      </rPr>
      <t>لتخزين وتدوير كلمات مرور المسؤولين تلقائياً</t>
    </r>
  </si>
  <si>
    <t>A.8.2 (Privileged access rights), A.5.17 (Authentication information)</t>
  </si>
  <si>
    <t>التدوير الآلي وإدارة الوصول المميز تقلل الاحتمالية بشكل كبير</t>
  </si>
  <si>
    <t>الأثر المحتمل يبقى عالياً نظراً لحساسية الحسابات المتأثرة</t>
  </si>
  <si>
    <t>الموظفون</t>
  </si>
  <si>
    <r>
      <rPr>
        <sz val="11"/>
        <color theme="1"/>
        <rFont val="FreeSans"/>
        <family val="2"/>
      </rPr>
      <t xml:space="preserve">جميع موظفي البنك </t>
    </r>
    <r>
      <rPr>
        <sz val="11"/>
        <color theme="1"/>
        <rFont val="Calibri"/>
        <family val="2"/>
        <scheme val="minor"/>
      </rPr>
      <t xml:space="preserve">(2,500 </t>
    </r>
    <r>
      <rPr>
        <sz val="11"/>
        <color theme="1"/>
        <rFont val="FreeSans"/>
        <family val="2"/>
      </rPr>
      <t>موظف</t>
    </r>
    <r>
      <rPr>
        <sz val="11"/>
        <color theme="1"/>
        <rFont val="Calibri"/>
        <family val="2"/>
        <scheme val="minor"/>
      </rPr>
      <t>)</t>
    </r>
  </si>
  <si>
    <t>هجوم تصيد احتيالي عام يستهدف موظفين في مختلف الإدارات</t>
  </si>
  <si>
    <r>
      <rPr>
        <sz val="11"/>
        <color theme="1"/>
        <rFont val="FreeSans"/>
        <family val="2"/>
      </rPr>
      <t xml:space="preserve">نسبة إبلاغ منخفضة جداً عن الرسائل المشبوهة </t>
    </r>
    <r>
      <rPr>
        <sz val="11"/>
        <color theme="1"/>
        <rFont val="Calibri"/>
        <family val="2"/>
        <scheme val="minor"/>
      </rPr>
      <t xml:space="preserve">(8% </t>
    </r>
    <r>
      <rPr>
        <sz val="11"/>
        <color theme="1"/>
        <rFont val="FreeSans"/>
        <family val="2"/>
      </rPr>
      <t>فقط</t>
    </r>
    <r>
      <rPr>
        <sz val="11"/>
        <color theme="1"/>
        <rFont val="Calibri"/>
        <family val="2"/>
        <scheme val="minor"/>
      </rPr>
      <t xml:space="preserve">) </t>
    </r>
    <r>
      <rPr>
        <sz val="11"/>
        <color theme="1"/>
        <rFont val="FreeSans"/>
        <family val="2"/>
      </rPr>
      <t xml:space="preserve">وارتفاع نسبة النقر في إدارة التسويق </t>
    </r>
    <r>
      <rPr>
        <sz val="11"/>
        <color theme="1"/>
        <rFont val="Calibri"/>
        <family val="2"/>
        <scheme val="minor"/>
      </rPr>
      <t xml:space="preserve">(40%) - </t>
    </r>
    <r>
      <rPr>
        <sz val="11"/>
        <color theme="1"/>
        <rFont val="FreeSans"/>
        <family val="2"/>
      </rPr>
      <t xml:space="preserve">القسم </t>
    </r>
    <r>
      <rPr>
        <sz val="11"/>
        <color theme="1"/>
        <rFont val="Calibri"/>
        <family val="2"/>
        <scheme val="minor"/>
      </rPr>
      <t>4.7</t>
    </r>
  </si>
  <si>
    <r>
      <rPr>
        <sz val="11"/>
        <color theme="1"/>
        <rFont val="FreeSans"/>
        <family val="2"/>
      </rPr>
      <t xml:space="preserve">بوابة بريد إلكتروني آمن </t>
    </r>
    <r>
      <rPr>
        <sz val="11"/>
        <color theme="1"/>
        <rFont val="Calibri"/>
        <family val="2"/>
        <scheme val="minor"/>
      </rPr>
      <t>(Cisco Email Security)</t>
    </r>
  </si>
  <si>
    <t>نتائج محاكاة التصيد الأخيرة تُظهر ضعفاً واضحاً وعاماً في الوعي الأمني</t>
  </si>
  <si>
    <t>قد يؤدي لإصابة بالبرمجيات الخبيثة أو سرقة بيانات اعتماد على نطاق واسع</t>
  </si>
  <si>
    <t>برنامج توعية دوري إلزامي لجميع الموظفين مع محاكاة تصيد ربع سنوية وتتبع مؤشرات التحسن حسب الإدارة</t>
  </si>
  <si>
    <t>A.6.3 (Information security awareness, education and training)</t>
  </si>
  <si>
    <t>الموارد البشرية</t>
  </si>
  <si>
    <t>بشكل مستمر</t>
  </si>
  <si>
    <t>التدريب المتكرر يرفع تدريجياً نسبة الإبلاغ ويقلل نسبة النقر</t>
  </si>
  <si>
    <t>الأثر يقل تدريجياً مع نضج ثقافة الأمن، لكنه لا يُلغى بالكامل</t>
  </si>
  <si>
    <r>
      <rPr>
        <sz val="11"/>
        <color theme="1"/>
        <rFont val="FreeSans"/>
        <family val="2"/>
      </rPr>
      <t xml:space="preserve">مرتبطة بحادثة القسم </t>
    </r>
    <r>
      <rPr>
        <sz val="11"/>
        <color theme="1"/>
        <rFont val="Calibri"/>
        <family val="2"/>
        <scheme val="minor"/>
      </rPr>
      <t>4.7</t>
    </r>
  </si>
  <si>
    <t>استمرارية الأعمال</t>
  </si>
  <si>
    <t>مركز البيانات الرئيسي بالرياض والعمليات المصرفية الأساسية</t>
  </si>
  <si>
    <t>كارثة طبيعية أو عطل كبير يوقف مركز البيانات الرئيسي بالكامل</t>
  </si>
  <si>
    <r>
      <rPr>
        <sz val="11"/>
        <color theme="1"/>
        <rFont val="FreeSans"/>
        <family val="2"/>
      </rPr>
      <t xml:space="preserve">عدم وجود دليل موثق على اختبار دوري فعلي لخطة التعافي من الكوارث </t>
    </r>
    <r>
      <rPr>
        <sz val="11"/>
        <color theme="1"/>
        <rFont val="Calibri"/>
        <family val="2"/>
        <scheme val="minor"/>
      </rPr>
      <t>(</t>
    </r>
    <r>
      <rPr>
        <sz val="11"/>
        <color theme="1"/>
        <rFont val="FreeSans"/>
        <family val="2"/>
      </rPr>
      <t>غير مذكور في الملف كنشاط قائم</t>
    </r>
    <r>
      <rPr>
        <sz val="11"/>
        <color theme="1"/>
        <rFont val="Calibri"/>
        <family val="2"/>
        <scheme val="minor"/>
      </rPr>
      <t>)</t>
    </r>
  </si>
  <si>
    <r>
      <rPr>
        <sz val="11"/>
        <color theme="1"/>
        <rFont val="FreeSans"/>
        <family val="2"/>
      </rPr>
      <t xml:space="preserve">مركز تعافٍ بديل في جدة مع عزل جغرافي جيد عن الرياض </t>
    </r>
    <r>
      <rPr>
        <sz val="11"/>
        <color theme="1"/>
        <rFont val="Calibri"/>
        <family val="2"/>
        <scheme val="minor"/>
      </rPr>
      <t>(</t>
    </r>
    <r>
      <rPr>
        <sz val="11"/>
        <color theme="1"/>
        <rFont val="FreeSans"/>
        <family val="2"/>
      </rPr>
      <t xml:space="preserve">القسم </t>
    </r>
    <r>
      <rPr>
        <sz val="11"/>
        <color theme="1"/>
        <rFont val="Calibri"/>
        <family val="2"/>
        <scheme val="minor"/>
      </rPr>
      <t>2.2)</t>
    </r>
  </si>
  <si>
    <t>احتمالية منخفضة نسبياً لكارثة كبرى، لكن الأثر كارثي في حال وقوعها</t>
  </si>
  <si>
    <r>
      <rPr>
        <sz val="11"/>
        <color theme="1"/>
        <rFont val="FreeSans"/>
        <family val="2"/>
      </rPr>
      <t>توقف كامل للعمليات المصرفية الأساسية لجميع العملاء والفروع الـ</t>
    </r>
    <r>
      <rPr>
        <sz val="11"/>
        <color theme="1"/>
        <rFont val="Calibri"/>
        <family val="2"/>
        <scheme val="minor"/>
      </rPr>
      <t>25</t>
    </r>
  </si>
  <si>
    <r>
      <rPr>
        <sz val="11"/>
        <color theme="1"/>
        <rFont val="FreeSans"/>
        <family val="2"/>
      </rPr>
      <t xml:space="preserve">إجراء اختبار تبديل </t>
    </r>
    <r>
      <rPr>
        <sz val="11"/>
        <color theme="1"/>
        <rFont val="Calibri"/>
        <family val="2"/>
        <scheme val="minor"/>
      </rPr>
      <t xml:space="preserve">(Failover Test) </t>
    </r>
    <r>
      <rPr>
        <sz val="11"/>
        <color theme="1"/>
        <rFont val="FreeSans"/>
        <family val="2"/>
      </rPr>
      <t>سنوي موثق بين مركز الرياض ومركز جدة مع تقرير نتائج رسمي</t>
    </r>
  </si>
  <si>
    <t>A.5.29 (Information security during disruption), A.5.30 (ICT readiness for business continuity), A.8.14 (Redundancy)</t>
  </si>
  <si>
    <t>سنوياً</t>
  </si>
  <si>
    <t>الاختبار الدوري الموثق يرفع مستوى الثقة في جاهزية التبديل الفعلي</t>
  </si>
  <si>
    <t>الأثر يبقى كارثياً بطبيعته في حال وقوع الحدث فعلياً رغم الاختبار</t>
  </si>
  <si>
    <t>العمليات المصرفية الدولية</t>
  </si>
  <si>
    <t>معاملات التحويل المالي الدولي</t>
  </si>
  <si>
    <r>
      <rPr>
        <sz val="11"/>
        <color theme="1"/>
        <rFont val="FreeSans"/>
        <family val="2"/>
      </rPr>
      <t xml:space="preserve">تحويل مالي احتيالي عبر انتحال هوية تنفيذي </t>
    </r>
    <r>
      <rPr>
        <sz val="11"/>
        <color theme="1"/>
        <rFont val="Calibri"/>
        <family val="2"/>
        <scheme val="minor"/>
      </rPr>
      <t>(Business Email Compromise)</t>
    </r>
  </si>
  <si>
    <r>
      <rPr>
        <sz val="11"/>
        <color theme="1"/>
        <rFont val="FreeSans"/>
        <family val="2"/>
      </rPr>
      <t xml:space="preserve">الاعتماد على تحقق هاتفي اختياري غير إلزامي لجميع الموظفين قبل تنفيذ التحويلات </t>
    </r>
    <r>
      <rPr>
        <sz val="11"/>
        <color theme="1"/>
        <rFont val="Calibri"/>
        <family val="2"/>
        <scheme val="minor"/>
      </rPr>
      <t>(</t>
    </r>
    <r>
      <rPr>
        <sz val="11"/>
        <color theme="1"/>
        <rFont val="FreeSans"/>
        <family val="2"/>
      </rPr>
      <t xml:space="preserve">القسم </t>
    </r>
    <r>
      <rPr>
        <sz val="11"/>
        <color theme="1"/>
        <rFont val="Calibri"/>
        <family val="2"/>
        <scheme val="minor"/>
      </rPr>
      <t>4.2)</t>
    </r>
  </si>
  <si>
    <t>مدير العمليات المصرفية الدولية</t>
  </si>
  <si>
    <t>نظام كشف احتيال آلي أوقف معاملة مماثلة سابقاً بنجاح</t>
  </si>
  <si>
    <r>
      <rPr>
        <sz val="11"/>
        <color theme="1"/>
        <rFont val="FreeSans"/>
        <family val="2"/>
      </rPr>
      <t xml:space="preserve">وقعت محاولة فعلية كادت تنجح لولا تدخل نظام كشف الاحتيال </t>
    </r>
    <r>
      <rPr>
        <sz val="11"/>
        <color theme="1"/>
        <rFont val="Calibri"/>
        <family val="2"/>
        <scheme val="minor"/>
      </rPr>
      <t>(</t>
    </r>
    <r>
      <rPr>
        <sz val="11"/>
        <color theme="1"/>
        <rFont val="FreeSans"/>
        <family val="2"/>
      </rPr>
      <t xml:space="preserve">القسم </t>
    </r>
    <r>
      <rPr>
        <sz val="11"/>
        <color theme="1"/>
        <rFont val="Calibri"/>
        <family val="2"/>
        <scheme val="minor"/>
      </rPr>
      <t>4.2)</t>
    </r>
  </si>
  <si>
    <t>قد يؤدي لخسارة مالية مباشرة وإضرار بعلاقات المراسلة الدولية</t>
  </si>
  <si>
    <t>إلزامية التحقق الهاتفي المزدوج عبر قناة مستقلة لأي تحويل دولي يتجاوز حداً محدداً، وتعزيز قواعد كشف الاحتيال</t>
  </si>
  <si>
    <t>A.5.14 (Information transfer), A.8.26 (Application security requirements)</t>
  </si>
  <si>
    <t>التحقق الإلزامي المزدوج يقلل بشكل كبير احتمالية نجاح هذا النوع من الهجمات</t>
  </si>
  <si>
    <t>الأثر المالي المحتمل يبقى معتبراً في حال تجاوز الضوابط</t>
  </si>
  <si>
    <r>
      <rPr>
        <sz val="11"/>
        <color theme="1"/>
        <rFont val="FreeSans"/>
        <family val="2"/>
      </rPr>
      <t xml:space="preserve">مرتبطة بحادثة القسم </t>
    </r>
    <r>
      <rPr>
        <sz val="11"/>
        <color theme="1"/>
        <rFont val="Calibri"/>
        <family val="2"/>
        <scheme val="minor"/>
      </rPr>
      <t>4.2</t>
    </r>
  </si>
  <si>
    <r>
      <t xml:space="preserve">هجوم تصيد احتيالي موجّه </t>
    </r>
    <r>
      <rPr>
        <sz val="11"/>
        <color theme="1"/>
        <rFont val="Calibri"/>
        <family val="2"/>
        <scheme val="minor"/>
      </rPr>
      <t xml:space="preserve"> </t>
    </r>
    <r>
      <rPr>
        <sz val="11"/>
        <color theme="1"/>
        <rFont val="FreeSans"/>
        <family val="2"/>
      </rPr>
      <t>لطلب تحويل مالي عاجل</t>
    </r>
  </si>
  <si>
    <r>
      <t xml:space="preserve">بوابة </t>
    </r>
    <r>
      <rPr>
        <sz val="11"/>
        <color theme="1"/>
        <rFont val="Calibri"/>
        <family val="2"/>
        <scheme val="minor"/>
      </rPr>
      <t>Cisco Email Security</t>
    </r>
    <r>
      <rPr>
        <sz val="11"/>
        <color theme="1"/>
        <rFont val="FreeSans"/>
        <family val="2"/>
      </rPr>
      <t>؛ نظام كشف احتيال آلي لايقاف التصيد آليًا</t>
    </r>
  </si>
  <si>
    <t>احتمالية حدوث عالية اثبتتها المحاكات الذي تم اجراءها قبل شهر</t>
  </si>
  <si>
    <t>محاولات لانتحال الشخصية وسرقة الأموال أو البيانات المهمة</t>
  </si>
  <si>
    <r>
      <rPr>
        <sz val="11"/>
        <color theme="1"/>
        <rFont val="FreeSans"/>
        <family val="2"/>
      </rPr>
      <t xml:space="preserve">سري للغاية </t>
    </r>
    <r>
      <rPr>
        <sz val="11"/>
        <color theme="1"/>
        <rFont val="Calibri"/>
        <family val="2"/>
        <scheme val="minor"/>
      </rPr>
      <t xml:space="preserve">- </t>
    </r>
    <r>
      <rPr>
        <sz val="11"/>
        <color theme="1"/>
        <rFont val="FreeSans"/>
        <family val="2"/>
      </rPr>
      <t>داخلي</t>
    </r>
  </si>
  <si>
    <r>
      <rPr>
        <sz val="11"/>
        <color theme="1"/>
        <rFont val="FreeSans"/>
        <family val="2"/>
      </rPr>
      <t xml:space="preserve">تقييم ومعالجة المخاطر القائم على الأصول </t>
    </r>
    <r>
      <rPr>
        <sz val="11"/>
        <color theme="1"/>
        <rFont val="Calibri"/>
        <family val="2"/>
        <scheme val="minor"/>
      </rPr>
      <t xml:space="preserve">- </t>
    </r>
    <r>
      <rPr>
        <sz val="11"/>
        <color theme="1"/>
        <rFont val="FreeSans"/>
        <family val="2"/>
      </rPr>
      <t>بنك الآفاق الرقمية</t>
    </r>
  </si>
  <si>
    <r>
      <rPr>
        <sz val="11"/>
        <color theme="1"/>
        <rFont val="FreeSans"/>
        <family val="2"/>
      </rPr>
      <t>يغطي هذا التقييم الأصول المعلوماتية والتقنية والمادية والبشرية الحرجة لبنك الآفاق الرقمية، ويشمل</t>
    </r>
    <r>
      <rPr>
        <sz val="11"/>
        <color theme="1"/>
        <rFont val="Calibri"/>
        <family val="2"/>
        <scheme val="minor"/>
      </rPr>
      <t xml:space="preserve">: </t>
    </r>
    <r>
      <rPr>
        <sz val="11"/>
        <color theme="1"/>
        <rFont val="FreeSans"/>
        <family val="2"/>
      </rPr>
      <t>المقر الرئيسي بالرياض ومركز البيانات الرئيسي، مركز التعافي من الكوارث بجدة، الفروع المصرفية الـ</t>
    </r>
    <r>
      <rPr>
        <sz val="11"/>
        <color theme="1"/>
        <rFont val="Calibri"/>
        <family val="2"/>
        <scheme val="minor"/>
      </rPr>
      <t>25</t>
    </r>
    <r>
      <rPr>
        <sz val="11"/>
        <color theme="1"/>
        <rFont val="FreeSans"/>
        <family val="2"/>
      </rPr>
      <t xml:space="preserve">، تطبيق آفاق بلس ومنصة آفاق نت، النظام المصرفي الأساسي، قواعد بيانات العملاء، والموردين والأطراف الثالثة الرئيسيين </t>
    </r>
    <r>
      <rPr>
        <sz val="11"/>
        <color theme="1"/>
        <rFont val="Calibri"/>
        <family val="2"/>
        <scheme val="minor"/>
      </rPr>
      <t>(AWS</t>
    </r>
    <r>
      <rPr>
        <sz val="11"/>
        <color theme="1"/>
        <rFont val="FreeSans"/>
        <family val="2"/>
      </rPr>
      <t>، شركة تطوير التطبيقات</t>
    </r>
    <r>
      <rPr>
        <sz val="11"/>
        <color theme="1"/>
        <rFont val="Calibri"/>
        <family val="2"/>
        <scheme val="minor"/>
      </rPr>
      <t>).</t>
    </r>
  </si>
  <si>
    <r>
      <rPr>
        <sz val="11"/>
        <color theme="1"/>
        <rFont val="FreeSans"/>
        <family val="2"/>
      </rPr>
      <t xml:space="preserve">يُعتبر الخطر مقبولاً إذا كانت درجته النهائية بعد المعالجة </t>
    </r>
    <r>
      <rPr>
        <sz val="11"/>
        <color theme="1"/>
        <rFont val="Calibri"/>
        <family val="2"/>
        <scheme val="minor"/>
      </rPr>
      <t>"</t>
    </r>
    <r>
      <rPr>
        <sz val="11"/>
        <color theme="1"/>
        <rFont val="FreeSans"/>
        <family val="2"/>
      </rPr>
      <t>منخفضة</t>
    </r>
    <r>
      <rPr>
        <sz val="11"/>
        <color theme="1"/>
        <rFont val="Calibri"/>
        <family val="2"/>
        <scheme val="minor"/>
      </rPr>
      <t>" (Risk Score ≤ 4)</t>
    </r>
    <r>
      <rPr>
        <sz val="11"/>
        <color theme="1"/>
        <rFont val="FreeSans"/>
        <family val="2"/>
      </rPr>
      <t xml:space="preserve">، أو إذا كانت تكلفة المعالجة الإضافية تفوق بشكل واضح الفائدة المتوقعة منها ولا يوجد التزام تنظيمي صريح </t>
    </r>
    <r>
      <rPr>
        <sz val="11"/>
        <color theme="1"/>
        <rFont val="Calibri"/>
        <family val="2"/>
        <scheme val="minor"/>
      </rPr>
      <t>(</t>
    </r>
    <r>
      <rPr>
        <sz val="11"/>
        <color theme="1"/>
        <rFont val="FreeSans"/>
        <family val="2"/>
      </rPr>
      <t>من ساما أو سدايا</t>
    </r>
    <r>
      <rPr>
        <sz val="11"/>
        <color theme="1"/>
        <rFont val="Calibri"/>
        <family val="2"/>
        <scheme val="minor"/>
      </rPr>
      <t xml:space="preserve">) </t>
    </r>
    <r>
      <rPr>
        <sz val="11"/>
        <color theme="1"/>
        <rFont val="FreeSans"/>
        <family val="2"/>
      </rPr>
      <t>يوجب معالجته</t>
    </r>
    <r>
      <rPr>
        <sz val="11"/>
        <color theme="1"/>
        <rFont val="Calibri"/>
        <family val="2"/>
        <scheme val="minor"/>
      </rPr>
      <t xml:space="preserve">. </t>
    </r>
    <r>
      <rPr>
        <sz val="11"/>
        <color theme="1"/>
        <rFont val="FreeSans"/>
        <family val="2"/>
      </rPr>
      <t>تُراجع معايير القبول سنوياً من قبل الإدارة العليا</t>
    </r>
    <r>
      <rPr>
        <sz val="11"/>
        <color theme="1"/>
        <rFont val="Calibri"/>
        <family val="2"/>
        <scheme val="minor"/>
      </rPr>
      <t>.</t>
    </r>
  </si>
  <si>
    <r>
      <rPr>
        <sz val="11"/>
        <color theme="1"/>
        <rFont val="FreeSans"/>
        <family val="2"/>
      </rPr>
      <t xml:space="preserve">الإصدار </t>
    </r>
    <r>
      <rPr>
        <sz val="11"/>
        <color theme="1"/>
        <rFont val="Calibri"/>
        <family val="2"/>
        <scheme val="minor"/>
      </rPr>
      <t>1.0</t>
    </r>
  </si>
  <si>
    <r>
      <rPr>
        <sz val="11"/>
        <color theme="1"/>
        <rFont val="FreeSans"/>
        <family val="2"/>
      </rPr>
      <t xml:space="preserve">فريق تقييم المخاطر والثغرات </t>
    </r>
    <r>
      <rPr>
        <sz val="11"/>
        <color theme="1"/>
        <rFont val="Calibri"/>
        <family val="2"/>
        <scheme val="minor"/>
      </rPr>
      <t xml:space="preserve">- </t>
    </r>
    <r>
      <rPr>
        <sz val="11"/>
        <color theme="1"/>
        <rFont val="FreeSans"/>
        <family val="2"/>
      </rPr>
      <t>إدارة أمن المعلومات</t>
    </r>
  </si>
  <si>
    <r>
      <rPr>
        <sz val="11"/>
        <color theme="1"/>
        <rFont val="FreeSans"/>
        <family val="2"/>
      </rPr>
      <t xml:space="preserve">الأستاذة سارة الحربي </t>
    </r>
    <r>
      <rPr>
        <sz val="11"/>
        <color theme="1"/>
        <rFont val="Calibri"/>
        <family val="2"/>
        <scheme val="minor"/>
      </rPr>
      <t>(CISO)</t>
    </r>
    <r>
      <rPr>
        <sz val="11"/>
        <color theme="1"/>
        <rFont val="FreeSans"/>
        <family val="2"/>
      </rPr>
      <t xml:space="preserve">، المهندس فهد العتيبي </t>
    </r>
    <r>
      <rPr>
        <sz val="11"/>
        <color theme="1"/>
        <rFont val="Calibri"/>
        <family val="2"/>
        <scheme val="minor"/>
      </rPr>
      <t>(CIO)</t>
    </r>
    <r>
      <rPr>
        <sz val="11"/>
        <color theme="1"/>
        <rFont val="FreeSans"/>
        <family val="2"/>
      </rPr>
      <t>، ممثلون عن إدارة تقنية المعلومات، الإدارة المالية، الموارد البشرية، والمراجعة الداخلية</t>
    </r>
  </si>
  <si>
    <r>
      <rPr>
        <sz val="11"/>
        <color theme="1"/>
        <rFont val="FreeSans"/>
        <family val="2"/>
      </rPr>
      <t xml:space="preserve">الدكتورة نورة القحطاني </t>
    </r>
    <r>
      <rPr>
        <sz val="11"/>
        <color theme="1"/>
        <rFont val="Calibri"/>
        <family val="2"/>
        <scheme val="minor"/>
      </rPr>
      <t xml:space="preserve">- </t>
    </r>
    <r>
      <rPr>
        <sz val="11"/>
        <color theme="1"/>
        <rFont val="FreeSans"/>
        <family val="2"/>
      </rPr>
      <t>الرئيس التنفيذي</t>
    </r>
  </si>
  <si>
    <r>
      <rPr>
        <sz val="11"/>
        <color theme="1"/>
        <rFont val="Calibri"/>
        <family val="2"/>
        <scheme val="minor"/>
      </rPr>
      <t>[</t>
    </r>
    <r>
      <rPr>
        <sz val="11"/>
        <color theme="1"/>
        <rFont val="FreeSans"/>
        <family val="2"/>
      </rPr>
      <t>أدخل تاريخ الاعتماد</t>
    </r>
    <r>
      <rPr>
        <sz val="11"/>
        <color theme="1"/>
        <rFont val="Calibri"/>
        <family val="2"/>
        <scheme val="minor"/>
      </rPr>
      <t>]</t>
    </r>
  </si>
  <si>
    <r>
      <t xml:space="preserve">بنك مرخّص يخضع لإشراف البنك المركزي السعودي </t>
    </r>
    <r>
      <rPr>
        <sz val="11"/>
        <color theme="1"/>
        <rFont val="Calibri"/>
        <family val="2"/>
        <scheme val="minor"/>
      </rPr>
      <t>(</t>
    </r>
    <r>
      <rPr>
        <sz val="11"/>
        <color theme="1"/>
        <rFont val="FreeSans"/>
        <family val="2"/>
      </rPr>
      <t>ساما</t>
    </r>
    <r>
      <rPr>
        <sz val="11"/>
        <color theme="1"/>
        <rFont val="Calibri"/>
        <family val="2"/>
        <scheme val="minor"/>
      </rPr>
      <t xml:space="preserve">) </t>
    </r>
    <r>
      <rPr>
        <sz val="11"/>
        <color theme="1"/>
        <rFont val="FreeSans"/>
        <family val="2"/>
      </rPr>
      <t>ونظام حماية البيانات الشخصية لسدايا، يعمل في بيئة مصرفية سعودية شديدة التنافسية ومتزايدة الاعتماد على القنوات الرقمية</t>
    </r>
    <r>
      <rPr>
        <sz val="11"/>
        <color theme="1"/>
        <rFont val="Calibri"/>
        <family val="2"/>
        <scheme val="minor"/>
      </rPr>
      <t xml:space="preserve">. </t>
    </r>
    <r>
      <rPr>
        <sz val="11"/>
        <color theme="1"/>
        <rFont val="FreeSans"/>
        <family val="2"/>
      </rPr>
      <t xml:space="preserve">يواجه القطاع تهديدات سيبرانية متصاعدة </t>
    </r>
    <r>
      <rPr>
        <sz val="11"/>
        <color theme="1"/>
        <rFont val="Calibri"/>
        <family val="2"/>
        <scheme val="minor"/>
      </rPr>
      <t>(</t>
    </r>
    <r>
      <rPr>
        <sz val="11"/>
        <color theme="1"/>
        <rFont val="FreeSans"/>
        <family val="2"/>
      </rPr>
      <t>فيروسات فدية، تصيد احتيالي، هجمات حجب خدمة، هجمات سلسلة توريد، تهديدات داخلية</t>
    </r>
    <r>
      <rPr>
        <sz val="11"/>
        <color theme="1"/>
        <rFont val="Calibri"/>
        <family val="2"/>
        <scheme val="minor"/>
      </rPr>
      <t>)</t>
    </r>
    <r>
      <rPr>
        <sz val="11"/>
        <color theme="1"/>
        <rFont val="FreeSans"/>
        <family val="2"/>
      </rPr>
      <t>، وقد سجّل البنك عدة حوادث أمنية فعلية خلال العامين الماضيين أثّرت على التوافر والسرية والامتثال التنظيمي</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</si>
</sst>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809]dd\ mmmm\ yyyy;@"/>
    <numFmt numFmtId="165" formatCode="_-* #,##0.00_-;\-* #,##0.00_-;_-* \-??_-;_-@_-"/>
  </numFmts>
  <fonts count="30">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9"/>
      <color indexed="81"/>
      <name val="Tahoma"/>
      <family val="2"/>
    </font>
    <font>
      <b/>
      <sz val="14"/>
      <color theme="0"/>
      <name val="Calibri"/>
      <family val="2"/>
      <scheme val="minor"/>
    </font>
    <font>
      <sz val="10"/>
      <color rgb="FF444444"/>
      <name val="Calibri"/>
      <family val="2"/>
      <scheme val="minor"/>
    </font>
    <font>
      <b/>
      <sz val="9"/>
      <color theme="1"/>
      <name val="Calibri"/>
      <family val="2"/>
      <scheme val="minor"/>
    </font>
    <font>
      <b/>
      <u/>
      <sz val="9"/>
      <color rgb="FF444444"/>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b/>
      <sz val="14"/>
      <color rgb="FF000000"/>
      <name val="Calibri"/>
      <family val="2"/>
      <scheme val="minor"/>
    </font>
    <font>
      <sz val="9"/>
      <color indexed="81"/>
      <name val="Tahoma"/>
      <family val="2"/>
    </font>
    <font>
      <b/>
      <sz val="18"/>
      <color theme="2" tint="-0.499984740745262"/>
      <name val="Calibri"/>
      <family val="2"/>
      <scheme val="minor"/>
    </font>
    <font>
      <b/>
      <sz val="16"/>
      <color theme="2" tint="-0.499984740745262"/>
      <name val="Calibri"/>
      <family val="2"/>
      <scheme val="minor"/>
    </font>
    <font>
      <i/>
      <sz val="11"/>
      <color rgb="FF444444"/>
      <name val="Calibri"/>
      <family val="2"/>
      <scheme val="minor"/>
    </font>
    <font>
      <sz val="11"/>
      <color theme="1"/>
      <name val="FreeSans"/>
      <family val="2"/>
    </font>
    <font>
      <sz val="11"/>
      <name val="Calibri"/>
      <family val="2"/>
      <charset val="1"/>
    </font>
  </fonts>
  <fills count="1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ck">
        <color theme="2"/>
      </bottom>
      <diagonal/>
    </border>
    <border>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right style="thin">
        <color theme="2" tint="-0.499984740745262"/>
      </right>
      <top style="thin">
        <color theme="2" tint="-0.499984740745262"/>
      </top>
      <bottom style="thin">
        <color theme="2" tint="-0.499984740745262"/>
      </bottom>
      <diagonal/>
    </border>
    <border>
      <left/>
      <right/>
      <top/>
      <bottom style="medium">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19">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8" fillId="0" borderId="0" xfId="0" applyFont="1"/>
    <xf numFmtId="0" fontId="9" fillId="0" borderId="0" xfId="0" applyFont="1"/>
    <xf numFmtId="0" fontId="11" fillId="0" borderId="0" xfId="0" applyFont="1" applyAlignment="1">
      <alignment vertical="top"/>
    </xf>
    <xf numFmtId="0" fontId="0" fillId="0" borderId="0" xfId="0" applyAlignment="1">
      <alignment vertical="top"/>
    </xf>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6" fillId="0" borderId="0" xfId="0" applyFont="1" applyAlignment="1" applyProtection="1">
      <alignment horizontal="right" vertical="top"/>
      <protection locked="0"/>
    </xf>
    <xf numFmtId="0" fontId="6" fillId="0" borderId="0" xfId="0" applyFont="1" applyAlignment="1" applyProtection="1">
      <alignment vertical="top"/>
      <protection locked="0"/>
    </xf>
    <xf numFmtId="0" fontId="11" fillId="0" borderId="0" xfId="0" applyFont="1" applyAlignment="1" applyProtection="1">
      <alignment vertical="top"/>
      <protection locked="0"/>
    </xf>
    <xf numFmtId="0" fontId="13" fillId="0" borderId="0" xfId="0" applyFont="1" applyAlignment="1">
      <alignment vertical="top"/>
    </xf>
    <xf numFmtId="0" fontId="14" fillId="0" borderId="0" xfId="0" applyFont="1"/>
    <xf numFmtId="0" fontId="12" fillId="0" borderId="0" xfId="0" applyFont="1" applyAlignment="1">
      <alignment horizontal="right"/>
    </xf>
    <xf numFmtId="0" fontId="10" fillId="0" borderId="0" xfId="0" applyFont="1"/>
    <xf numFmtId="0" fontId="10" fillId="0" borderId="0" xfId="0" applyFont="1" applyAlignment="1">
      <alignment horizontal="left"/>
    </xf>
    <xf numFmtId="0" fontId="11" fillId="0" borderId="0" xfId="0" applyFont="1"/>
    <xf numFmtId="0" fontId="10" fillId="5" borderId="5" xfId="0" applyFont="1" applyFill="1" applyBorder="1" applyAlignment="1">
      <alignment vertical="top" wrapText="1"/>
    </xf>
    <xf numFmtId="0" fontId="14" fillId="0" borderId="0" xfId="0" applyFont="1" applyAlignment="1">
      <alignment vertical="top"/>
    </xf>
    <xf numFmtId="0" fontId="3" fillId="6" borderId="0" xfId="0" applyFont="1" applyFill="1" applyAlignment="1">
      <alignment vertical="center" wrapText="1"/>
    </xf>
    <xf numFmtId="0" fontId="8" fillId="0" borderId="0" xfId="0" applyFont="1" applyAlignment="1">
      <alignment vertical="top" wrapText="1"/>
    </xf>
    <xf numFmtId="0" fontId="14" fillId="0" borderId="0" xfId="0" applyFont="1" applyAlignment="1">
      <alignment horizontal="left" vertical="top"/>
    </xf>
    <xf numFmtId="0" fontId="14" fillId="0" borderId="0" xfId="0" applyFont="1" applyAlignment="1">
      <alignment vertical="top" wrapText="1"/>
    </xf>
    <xf numFmtId="0" fontId="14" fillId="0" borderId="0" xfId="0" applyFont="1" applyAlignment="1">
      <alignment horizontal="left"/>
    </xf>
    <xf numFmtId="0" fontId="6" fillId="0" borderId="6" xfId="0" applyFont="1" applyBorder="1" applyAlignment="1">
      <alignment vertical="top"/>
    </xf>
    <xf numFmtId="0" fontId="3" fillId="6" borderId="0" xfId="0" applyFont="1" applyFill="1" applyAlignment="1" applyProtection="1">
      <alignment vertical="center" wrapText="1"/>
      <protection locked="0"/>
    </xf>
    <xf numFmtId="0" fontId="3" fillId="6" borderId="0" xfId="0" applyFont="1" applyFill="1" applyAlignment="1" applyProtection="1">
      <alignment vertical="center"/>
      <protection locked="0"/>
    </xf>
    <xf numFmtId="0" fontId="3" fillId="6" borderId="0" xfId="0" applyFont="1" applyFill="1" applyAlignment="1">
      <alignment vertical="center"/>
    </xf>
    <xf numFmtId="0" fontId="0" fillId="0" borderId="7" xfId="0" applyBorder="1" applyAlignment="1">
      <alignment vertical="top"/>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6" fillId="0" borderId="7" xfId="0" applyFont="1" applyBorder="1" applyAlignment="1">
      <alignment vertical="top"/>
    </xf>
    <xf numFmtId="0" fontId="12" fillId="6" borderId="0" xfId="0" applyFont="1" applyFill="1"/>
    <xf numFmtId="0" fontId="12" fillId="0" borderId="0" xfId="0" applyFont="1"/>
    <xf numFmtId="0" fontId="16" fillId="6" borderId="0" xfId="0" applyFont="1" applyFill="1"/>
    <xf numFmtId="0" fontId="0" fillId="6" borderId="0" xfId="0" applyFill="1"/>
    <xf numFmtId="0" fontId="6" fillId="6" borderId="0" xfId="0" applyFont="1" applyFill="1" applyAlignment="1">
      <alignment vertical="top"/>
    </xf>
    <xf numFmtId="0" fontId="17" fillId="0" borderId="0" xfId="0" applyFont="1" applyAlignment="1">
      <alignment horizontal="center" vertical="top" textRotation="90"/>
    </xf>
    <xf numFmtId="0" fontId="16" fillId="6" borderId="0" xfId="0" applyFont="1" applyFill="1" applyAlignment="1">
      <alignment vertical="top"/>
    </xf>
    <xf numFmtId="0" fontId="16" fillId="0" borderId="0" xfId="0" applyFont="1" applyAlignment="1">
      <alignment vertical="top"/>
    </xf>
    <xf numFmtId="0" fontId="19" fillId="0" borderId="0" xfId="0" applyFont="1" applyAlignment="1">
      <alignment horizontal="left" vertical="center"/>
    </xf>
    <xf numFmtId="0" fontId="20" fillId="8" borderId="9" xfId="0" applyFont="1" applyFill="1" applyBorder="1" applyAlignment="1">
      <alignment horizontal="left" vertical="top" indent="1"/>
    </xf>
    <xf numFmtId="0" fontId="18" fillId="8" borderId="9" xfId="0" applyFont="1" applyFill="1" applyBorder="1" applyAlignment="1">
      <alignment horizontal="left" vertical="center" wrapText="1" indent="1"/>
    </xf>
    <xf numFmtId="0" fontId="0" fillId="8" borderId="10" xfId="0" applyFill="1" applyBorder="1" applyAlignment="1">
      <alignment horizontal="center" vertical="center"/>
    </xf>
    <xf numFmtId="0" fontId="0" fillId="2" borderId="11" xfId="0" applyFill="1" applyBorder="1" applyAlignment="1">
      <alignment horizontal="center" vertical="center"/>
    </xf>
    <xf numFmtId="0" fontId="0" fillId="3" borderId="11" xfId="0" applyFill="1" applyBorder="1" applyAlignment="1">
      <alignment horizontal="center" vertical="center"/>
    </xf>
    <xf numFmtId="0" fontId="0" fillId="0" borderId="0" xfId="0" applyAlignment="1">
      <alignment horizontal="center" vertical="center"/>
    </xf>
    <xf numFmtId="0" fontId="21" fillId="2" borderId="9" xfId="0" applyFont="1" applyFill="1" applyBorder="1" applyAlignment="1">
      <alignment horizontal="left" vertical="center" wrapText="1" indent="1"/>
    </xf>
    <xf numFmtId="0" fontId="22" fillId="3" borderId="9" xfId="0" applyFont="1" applyFill="1" applyBorder="1" applyAlignment="1">
      <alignment horizontal="left" vertical="center" wrapText="1" indent="1"/>
    </xf>
    <xf numFmtId="0" fontId="0" fillId="8" borderId="12" xfId="0" applyFill="1" applyBorder="1" applyAlignment="1">
      <alignment horizontal="center" vertical="center"/>
    </xf>
    <xf numFmtId="0" fontId="0" fillId="4" borderId="11" xfId="0" applyFill="1" applyBorder="1" applyAlignment="1">
      <alignment horizontal="center" vertical="center"/>
    </xf>
    <xf numFmtId="0" fontId="21" fillId="4" borderId="9" xfId="0" applyFont="1" applyFill="1" applyBorder="1" applyAlignment="1">
      <alignment horizontal="left" vertical="center" wrapText="1" indent="1"/>
    </xf>
    <xf numFmtId="0" fontId="0" fillId="8" borderId="13" xfId="0" applyFill="1" applyBorder="1"/>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10" fillId="0" borderId="0" xfId="0" applyFont="1" applyAlignment="1">
      <alignment horizontal="center" vertical="center"/>
    </xf>
    <xf numFmtId="0" fontId="0" fillId="0" borderId="0" xfId="0" quotePrefix="1" applyAlignment="1">
      <alignment horizontal="center" vertical="top"/>
    </xf>
    <xf numFmtId="0" fontId="0" fillId="0" borderId="0" xfId="0" applyAlignment="1">
      <alignment horizontal="center" vertical="top"/>
    </xf>
    <xf numFmtId="0" fontId="10" fillId="0" borderId="0" xfId="0" applyFont="1" applyAlignment="1">
      <alignment horizontal="left" vertical="top"/>
    </xf>
    <xf numFmtId="0" fontId="0" fillId="0" borderId="0" xfId="0" applyAlignment="1">
      <alignment horizontal="right"/>
    </xf>
    <xf numFmtId="0" fontId="3" fillId="6" borderId="0" xfId="0" applyFont="1" applyFill="1"/>
    <xf numFmtId="0" fontId="23" fillId="0" borderId="0" xfId="0" applyFont="1" applyAlignment="1">
      <alignment horizontal="left" vertical="top" readingOrder="1"/>
    </xf>
    <xf numFmtId="3" fontId="0" fillId="0" borderId="0" xfId="0" applyNumberFormat="1"/>
    <xf numFmtId="0" fontId="0" fillId="0" borderId="0" xfId="0" applyAlignment="1" applyProtection="1">
      <alignment vertical="top"/>
      <protection locked="0"/>
    </xf>
    <xf numFmtId="0" fontId="10" fillId="0" borderId="0" xfId="0" applyFont="1" applyAlignment="1" applyProtection="1">
      <alignment vertical="center" wrapText="1"/>
      <protection locked="0"/>
    </xf>
    <xf numFmtId="0" fontId="10" fillId="0" borderId="0" xfId="0" applyFont="1" applyAlignment="1" applyProtection="1">
      <alignment vertical="center"/>
      <protection locked="0"/>
    </xf>
    <xf numFmtId="0" fontId="0" fillId="0" borderId="0" xfId="0" applyAlignment="1" applyProtection="1">
      <alignment horizontal="right" vertical="top"/>
      <protection locked="0"/>
    </xf>
    <xf numFmtId="0" fontId="0" fillId="0" borderId="0" xfId="0" applyAlignment="1" applyProtection="1">
      <alignment vertical="top" wrapText="1"/>
      <protection locked="0"/>
    </xf>
    <xf numFmtId="0" fontId="6" fillId="0" borderId="7" xfId="0" applyFont="1" applyBorder="1" applyAlignment="1" applyProtection="1">
      <alignment vertical="top"/>
      <protection locked="0"/>
    </xf>
    <xf numFmtId="0" fontId="0" fillId="0" borderId="16" xfId="0" applyBorder="1"/>
    <xf numFmtId="0" fontId="0" fillId="0" borderId="6" xfId="0" applyBorder="1"/>
    <xf numFmtId="0" fontId="10" fillId="0" borderId="0" xfId="0" applyFont="1" applyAlignment="1">
      <alignment vertical="top" wrapText="1"/>
    </xf>
    <xf numFmtId="0" fontId="6" fillId="0" borderId="0" xfId="0" applyFont="1" applyAlignment="1">
      <alignment horizontal="left" vertical="top"/>
    </xf>
    <xf numFmtId="0" fontId="10" fillId="0" borderId="6" xfId="0" applyFont="1" applyBorder="1" applyAlignment="1">
      <alignment vertical="top" wrapText="1"/>
    </xf>
    <xf numFmtId="0" fontId="0" fillId="0" borderId="6" xfId="0" applyBorder="1" applyAlignment="1">
      <alignment vertical="top" wrapText="1"/>
    </xf>
    <xf numFmtId="17" fontId="0" fillId="0" borderId="0" xfId="0" applyNumberFormat="1" applyAlignment="1" applyProtection="1">
      <alignment horizontal="left" vertical="top" wrapText="1"/>
      <protection locked="0"/>
    </xf>
    <xf numFmtId="0" fontId="27" fillId="0" borderId="0" xfId="0" applyFont="1" applyAlignment="1">
      <alignment vertical="top"/>
    </xf>
    <xf numFmtId="0" fontId="6" fillId="0" borderId="17" xfId="0" applyFont="1" applyBorder="1" applyAlignment="1">
      <alignment vertical="top"/>
    </xf>
    <xf numFmtId="0" fontId="10" fillId="5" borderId="18" xfId="0" applyFont="1" applyFill="1" applyBorder="1" applyAlignment="1">
      <alignment vertical="top" wrapText="1"/>
    </xf>
    <xf numFmtId="0" fontId="10" fillId="5" borderId="19" xfId="0" applyFont="1" applyFill="1" applyBorder="1" applyAlignment="1">
      <alignment vertical="top" wrapText="1"/>
    </xf>
    <xf numFmtId="164" fontId="0" fillId="0" borderId="19" xfId="0" applyNumberFormat="1" applyBorder="1" applyAlignment="1" applyProtection="1">
      <alignment vertical="top" wrapText="1"/>
      <protection locked="0"/>
    </xf>
    <xf numFmtId="0" fontId="0" fillId="0" borderId="20" xfId="0" applyBorder="1" applyAlignment="1" applyProtection="1">
      <alignment vertical="top" wrapText="1"/>
      <protection locked="0"/>
    </xf>
    <xf numFmtId="0" fontId="0" fillId="9" borderId="0" xfId="0" applyFill="1" applyAlignment="1">
      <alignment vertical="top"/>
    </xf>
    <xf numFmtId="0" fontId="0" fillId="9" borderId="0" xfId="0" applyFill="1" applyAlignment="1">
      <alignment horizontal="centerContinuous" vertical="top"/>
    </xf>
    <xf numFmtId="0" fontId="0" fillId="9" borderId="0" xfId="0" applyFill="1" applyAlignment="1">
      <alignment horizontal="left" vertical="top"/>
    </xf>
    <xf numFmtId="43" fontId="0" fillId="0" borderId="0" xfId="0" applyNumberFormat="1" applyAlignment="1" applyProtection="1">
      <alignment horizontal="right" vertical="top" wrapText="1"/>
      <protection locked="0"/>
    </xf>
    <xf numFmtId="0" fontId="0" fillId="0" borderId="21" xfId="0" applyBorder="1" applyAlignment="1">
      <alignment vertical="top" wrapText="1"/>
    </xf>
    <xf numFmtId="0" fontId="3" fillId="6" borderId="0" xfId="0" applyFont="1" applyFill="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0" fillId="0" borderId="0" xfId="0" applyAlignment="1" applyProtection="1">
      <alignment horizontal="center" vertical="top"/>
      <protection locked="0"/>
    </xf>
    <xf numFmtId="0" fontId="12" fillId="6" borderId="0" xfId="0" applyFont="1" applyFill="1" applyAlignment="1">
      <alignment horizontal="left"/>
    </xf>
    <xf numFmtId="0" fontId="12" fillId="0" borderId="0" xfId="0" applyFont="1" applyAlignment="1">
      <alignment horizontal="left"/>
    </xf>
    <xf numFmtId="0" fontId="12" fillId="6" borderId="0" xfId="0" applyFont="1" applyFill="1" applyAlignment="1">
      <alignment horizontal="right"/>
    </xf>
    <xf numFmtId="0" fontId="5" fillId="6" borderId="0" xfId="0" applyFont="1" applyFill="1" applyAlignment="1">
      <alignment vertical="top" wrapText="1"/>
    </xf>
    <xf numFmtId="0" fontId="28" fillId="0" borderId="0" xfId="0" applyFont="1" applyAlignment="1" applyProtection="1">
      <alignment horizontal="left" vertical="top" wrapText="1"/>
      <protection locked="0"/>
    </xf>
    <xf numFmtId="0" fontId="28" fillId="0" borderId="0" xfId="0" applyFont="1" applyAlignment="1" applyProtection="1">
      <alignment vertical="top" wrapText="1"/>
      <protection locked="0"/>
    </xf>
    <xf numFmtId="0" fontId="29" fillId="0" borderId="0" xfId="0" applyFont="1" applyAlignment="1">
      <alignment vertical="top" wrapText="1"/>
    </xf>
    <xf numFmtId="165" fontId="28" fillId="0" borderId="0" xfId="0" applyNumberFormat="1" applyFont="1" applyAlignment="1" applyProtection="1">
      <alignment horizontal="right" vertical="top" wrapText="1"/>
      <protection locked="0"/>
    </xf>
    <xf numFmtId="0" fontId="28" fillId="0" borderId="5" xfId="0" applyFont="1" applyBorder="1" applyAlignment="1" applyProtection="1">
      <alignment vertical="top" wrapText="1"/>
      <protection locked="0"/>
    </xf>
    <xf numFmtId="0" fontId="28" fillId="0" borderId="18" xfId="0" applyFont="1" applyBorder="1" applyAlignment="1" applyProtection="1">
      <alignment vertical="top" wrapText="1"/>
      <protection locked="0"/>
    </xf>
    <xf numFmtId="0" fontId="28" fillId="0" borderId="19" xfId="0" applyFont="1" applyBorder="1" applyAlignment="1" applyProtection="1">
      <alignment vertical="top" wrapText="1"/>
      <protection locked="0"/>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3" fillId="7" borderId="4" xfId="0" applyFont="1" applyFill="1" applyBorder="1" applyAlignment="1">
      <alignment horizontal="left" vertical="center"/>
    </xf>
    <xf numFmtId="0" fontId="10" fillId="0" borderId="0" xfId="0" applyFont="1" applyAlignment="1">
      <alignment horizontal="center" vertical="center"/>
    </xf>
    <xf numFmtId="0" fontId="18" fillId="0" borderId="0" xfId="0" applyFont="1" applyAlignment="1">
      <alignment horizontal="center" vertical="center" textRotation="90"/>
    </xf>
    <xf numFmtId="0" fontId="19" fillId="0" borderId="8" xfId="0" applyFont="1" applyBorder="1" applyAlignment="1">
      <alignment horizontal="center" vertical="center"/>
    </xf>
    <xf numFmtId="0" fontId="10" fillId="0" borderId="0" xfId="0" applyFont="1" applyAlignment="1">
      <alignment horizontal="center" vertical="center" textRotation="90"/>
    </xf>
  </cellXfs>
  <cellStyles count="3">
    <cellStyle name="Heading 1" xfId="1" builtinId="16" customBuiltin="1"/>
    <cellStyle name="Heading 2" xfId="2" builtinId="17" customBuiltin="1"/>
    <cellStyle name="Normal" xfId="0" builtinId="0"/>
  </cellStyles>
  <dxfs count="174">
    <dxf>
      <numFmt numFmtId="0" formatCode="General"/>
    </dxf>
    <dxf>
      <numFmt numFmtId="0" formatCode="General"/>
    </dxf>
    <dxf>
      <fill>
        <patternFill>
          <bgColor theme="2" tint="-0.499984740745262"/>
        </patternFill>
      </fill>
    </dxf>
    <dxf>
      <fill>
        <patternFill>
          <bgColor theme="2" tint="-0.499984740745262"/>
        </patternFill>
      </fill>
    </dxf>
    <dxf>
      <fill>
        <patternFill>
          <bgColor theme="2" tint="-0.499984740745262"/>
        </patternFill>
      </fill>
    </dxf>
    <dxf>
      <fill>
        <patternFill>
          <bgColor theme="3"/>
        </patternFill>
      </fill>
    </dxf>
    <dxf>
      <fill>
        <patternFill>
          <bgColor theme="3"/>
        </patternFill>
      </fill>
    </dxf>
    <dxf>
      <font>
        <color theme="0"/>
      </font>
    </dxf>
    <dxf>
      <fill>
        <patternFill patternType="solid">
          <bgColor theme="7"/>
        </patternFill>
      </fill>
    </dxf>
    <dxf>
      <font>
        <color theme="0"/>
      </font>
    </dxf>
    <dxf>
      <font>
        <color theme="0"/>
      </font>
    </dxf>
    <dxf>
      <fill>
        <patternFill patternType="solid">
          <bgColor theme="7"/>
        </patternFill>
      </fill>
    </dxf>
    <dxf>
      <fill>
        <patternFill patternType="solid">
          <bgColor theme="7"/>
        </patternFill>
      </fill>
    </dxf>
    <dxf>
      <fill>
        <patternFill>
          <bgColor theme="2" tint="-0.499984740745262"/>
        </patternFill>
      </fill>
    </dxf>
    <dxf>
      <fill>
        <patternFill>
          <bgColor theme="2" tint="-0.499984740745262"/>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alignment wrapText="1"/>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ill>
        <patternFill patternType="solid">
          <bgColor theme="3"/>
        </patternFill>
      </fill>
    </dxf>
    <dxf>
      <alignment horizontal="righ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2" tint="-0.499984740745262"/>
        </patternFill>
      </fill>
      <alignment horizontal="left" vertical="bottom" textRotation="0" wrapText="0" indent="0" justifyLastLine="0" shrinkToFit="0" readingOrder="0"/>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bgColor theme="2"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numFmt numFmtId="0" formatCode="General"/>
      <fill>
        <patternFill patternType="none">
          <fgColor indexed="64"/>
          <bgColor indexed="65"/>
        </patternFill>
      </fill>
      <alignment horizontal="left" vertical="top" textRotation="0" wrapText="1" indent="0" justifyLastLine="0" shrinkToFit="0" readingOrder="0"/>
      <protection locked="1"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numFmt numFmtId="0" formatCode="General"/>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b/>
        <color rgb="FF444444"/>
      </font>
      <fill>
        <patternFill>
          <bgColor rgb="FF92D050"/>
        </patternFill>
      </fill>
    </dxf>
    <dxf>
      <font>
        <b/>
        <color rgb="FF444444"/>
      </font>
      <fill>
        <patternFill>
          <bgColor rgb="FFFFC000"/>
        </patternFill>
      </fill>
    </dxf>
    <dxf>
      <font>
        <b/>
        <color rgb="FFFFFFFF"/>
      </font>
      <fill>
        <patternFill>
          <bgColor rgb="FFFF0000"/>
        </patternFill>
      </fill>
    </dxf>
    <dxf>
      <fill>
        <patternFill>
          <bgColor theme="1" tint="0.39988402966399123"/>
        </patternFill>
      </fill>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2" pivot="0" table="0" count="10" xr9:uid="{3FFB1DE4-E006-4679-A759-EEE40E7523CA}">
      <tableStyleElement type="wholeTable" dxfId="173"/>
      <tableStyleElement type="headerRow" dxfId="172"/>
    </tableStyle>
    <tableStyle name="CertiKit table style" pivot="0" count="4" xr9:uid="{DB09D369-C8DC-4F2D-8B79-BD07E6702FD9}">
      <tableStyleElement type="wholeTable" dxfId="171"/>
      <tableStyleElement type="headerRow" dxfId="170"/>
      <tableStyleElement type="firstRowStripe" dxfId="169"/>
      <tableStyleElement type="secondRowStripe" dxfId="168"/>
    </tableStyle>
    <tableStyle name="CertiKit table style 2" pivot="0" count="4" xr9:uid="{9A1B8E80-03E5-4000-8EBF-17CB853EFFC2}">
      <tableStyleElement type="wholeTable" dxfId="167"/>
      <tableStyleElement type="headerRow" dxfId="166"/>
      <tableStyleElement type="firstRowStripe" dxfId="165"/>
      <tableStyleElement type="secondRowStripe" dxfId="164"/>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9"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4.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Tool.xlsx]Pre-treatment risks!PreTreatmentRisks</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F9-4F13-B066-2CA0F9D1A6D3}"/>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F9-4F13-B066-2CA0F9D1A6D3}"/>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F9-4F13-B066-2CA0F9D1A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risks'!$B$13:$B$15</c:f>
              <c:strCache>
                <c:ptCount val="3"/>
                <c:pt idx="0">
                  <c:v> Low</c:v>
                </c:pt>
                <c:pt idx="1">
                  <c:v> Medium</c:v>
                </c:pt>
                <c:pt idx="2">
                  <c:v> High</c:v>
                </c:pt>
              </c:strCache>
            </c:strRef>
          </c:cat>
          <c:val>
            <c:numRef>
              <c:f>'Pre-treatment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C4F9-4F13-B066-2CA0F9D1A6D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Tool.xlsx]Pre-treat risk levels by owner!PreTreatmentRisksByOwner</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bg2"/>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bg2"/>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bg2"/>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bg2"/>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bg2"/>
          </a:solidFill>
          <a:ln>
            <a:noFill/>
          </a:ln>
          <a:effectLst/>
          <a:sp3d/>
        </c:spPr>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bg2"/>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bg2"/>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 risk levels by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B3B-4BBF-B885-B1713D797CC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B3B-4BBF-B885-B1713D797CC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B3B-4BBF-B885-B1713D797CC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B3B-4BBF-B885-B1713D797CC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9B3B-4BBF-B885-B1713D797CC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9B3B-4BBF-B885-B1713D797CCC}"/>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9B3B-4BBF-B885-B1713D797CCC}"/>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9B3B-4BBF-B885-B1713D797CCC}"/>
              </c:ext>
            </c:extLst>
          </c:dPt>
          <c:cat>
            <c:multiLvlStrRef>
              <c:f>'Pre-treat risk levels by owner'!$B$7:$C$7</c:f>
              <c:multiLvlStrCache>
                <c:ptCount val="1"/>
                <c:lvl>
                  <c:pt idx="0">
                    <c:v>(blank)</c:v>
                  </c:pt>
                </c:lvl>
                <c:lvl>
                  <c:pt idx="0">
                    <c:v>Calculated</c:v>
                  </c:pt>
                </c:lvl>
              </c:multiLvlStrCache>
            </c:multiLvlStrRef>
          </c:cat>
          <c:val>
            <c:numRef>
              <c:f>'Pre-treat risk levels by owner'!$D$7</c:f>
              <c:numCache>
                <c:formatCode>General</c:formatCode>
                <c:ptCount val="1"/>
                <c:pt idx="0">
                  <c:v>20</c:v>
                </c:pt>
              </c:numCache>
            </c:numRef>
          </c:val>
          <c:extLst>
            <c:ext xmlns:c16="http://schemas.microsoft.com/office/drawing/2014/chart" uri="{C3380CC4-5D6E-409C-BE32-E72D297353CC}">
              <c16:uniqueId val="{00000010-9B3B-4BBF-B885-B1713D797CCC}"/>
            </c:ext>
          </c:extLst>
        </c:ser>
        <c:dLbls>
          <c:showLegendKey val="0"/>
          <c:showVal val="0"/>
          <c:showCatName val="0"/>
          <c:showSerName val="0"/>
          <c:showPercent val="0"/>
          <c:showBubbleSize val="0"/>
        </c:dLbls>
        <c:gapWidth val="150"/>
        <c:shape val="box"/>
        <c:axId val="1162753848"/>
        <c:axId val="1162751552"/>
        <c:axId val="0"/>
      </c:bar3DChart>
      <c:catAx>
        <c:axId val="1162753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552"/>
        <c:crosses val="autoZero"/>
        <c:auto val="1"/>
        <c:lblAlgn val="ctr"/>
        <c:lblOffset val="100"/>
        <c:noMultiLvlLbl val="0"/>
      </c:catAx>
      <c:valAx>
        <c:axId val="116275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2753848"/>
        <c:crosses val="autoZero"/>
        <c:crossBetween val="between"/>
        <c:majorUnit val="5"/>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CC-4558-9D96-E542BB06682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CC-4558-9D96-E542BB06682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CC-4558-9D96-E542BB0668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risks'!$B$13:$B$15</c:f>
              <c:strCache>
                <c:ptCount val="3"/>
                <c:pt idx="0">
                  <c:v> Low</c:v>
                </c:pt>
                <c:pt idx="1">
                  <c:v> Medium</c:v>
                </c:pt>
                <c:pt idx="2">
                  <c:v> High</c:v>
                </c:pt>
              </c:strCache>
            </c:strRef>
          </c:cat>
          <c:val>
            <c:numRef>
              <c:f>'Post-treatment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07CC-4558-9D96-E542BB06682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Tool.xlsx]Risks by risk level pre &amp; post!RisksByRiskLevelPre&amp;PostTreatment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'Risks by risk level pre &amp; post'!$C$12</c:f>
              <c:strCache>
                <c:ptCount val="1"/>
                <c:pt idx="0">
                  <c:v>Pre-treatment </c:v>
                </c:pt>
              </c:strCache>
            </c:strRef>
          </c:tx>
          <c:spPr>
            <a:solidFill>
              <a:schemeClr val="bg2">
                <a:lumMod val="5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post'!$C$13:$C$15</c:f>
              <c:numCache>
                <c:formatCode>General</c:formatCode>
                <c:ptCount val="3"/>
                <c:pt idx="0">
                  <c:v>0</c:v>
                </c:pt>
                <c:pt idx="1">
                  <c:v>0</c:v>
                </c:pt>
                <c:pt idx="2">
                  <c:v>0</c:v>
                </c:pt>
              </c:numCache>
            </c:numRef>
          </c:val>
          <c:extLst>
            <c:ext xmlns:c16="http://schemas.microsoft.com/office/drawing/2014/chart" uri="{C3380CC4-5D6E-409C-BE32-E72D297353CC}">
              <c16:uniqueId val="{00000000-81E7-406C-9C68-227E5E19888B}"/>
            </c:ext>
          </c:extLst>
        </c:ser>
        <c:ser>
          <c:idx val="1"/>
          <c:order val="1"/>
          <c:tx>
            <c:strRef>
              <c:f>'Risks by risk level pre &amp; post'!$D$12</c:f>
              <c:strCache>
                <c:ptCount val="1"/>
                <c:pt idx="0">
                  <c:v>Post-treatment </c:v>
                </c:pt>
              </c:strCache>
            </c:strRef>
          </c:tx>
          <c:spPr>
            <a:solidFill>
              <a:schemeClr val="bg2">
                <a:lumMod val="9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post'!$D$13:$D$15</c:f>
              <c:numCache>
                <c:formatCode>General</c:formatCode>
                <c:ptCount val="3"/>
                <c:pt idx="0">
                  <c:v>0</c:v>
                </c:pt>
                <c:pt idx="1">
                  <c:v>0</c:v>
                </c:pt>
                <c:pt idx="2">
                  <c:v>0</c:v>
                </c:pt>
              </c:numCache>
            </c:numRef>
          </c:val>
          <c:extLst>
            <c:ext xmlns:c16="http://schemas.microsoft.com/office/drawing/2014/chart" uri="{C3380CC4-5D6E-409C-BE32-E72D297353CC}">
              <c16:uniqueId val="{00000001-81E7-406C-9C68-227E5E19888B}"/>
            </c:ext>
          </c:extLst>
        </c:ser>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option chosen!RisksByTreatmentOption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chosen'!$C$6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27-4286-A7D8-E8EEF576F2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27-4286-A7D8-E8EEF576F2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27-4286-A7D8-E8EEF576F2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chosen'!$B$7</c:f>
              <c:strCache>
                <c:ptCount val="1"/>
                <c:pt idx="0">
                  <c:v>Select…</c:v>
                </c:pt>
              </c:strCache>
            </c:strRef>
          </c:cat>
          <c:val>
            <c:numRef>
              <c:f>'Treatment option chosen'!$C$7</c:f>
              <c:numCache>
                <c:formatCode>General</c:formatCode>
                <c:ptCount val="1"/>
              </c:numCache>
            </c:numRef>
          </c:val>
          <c:extLst>
            <c:ext xmlns:c16="http://schemas.microsoft.com/office/drawing/2014/chart" uri="{C3380CC4-5D6E-409C-BE32-E72D297353CC}">
              <c16:uniqueId val="{00000000-20BC-44FA-AA10-AF21B55D67A3}"/>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cost !TreatmentCosts</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FF0000"/>
          </a:solidFill>
          <a:ln>
            <a:noFill/>
          </a:ln>
          <a:effectLst/>
          <a:sp3d/>
        </c:spPr>
      </c:pivotFmt>
      <c:pivotFmt>
        <c:idx val="5"/>
        <c:spPr>
          <a:solidFill>
            <a:srgbClr val="92D050"/>
          </a:solidFill>
          <a:ln>
            <a:noFill/>
          </a:ln>
          <a:effectLst/>
          <a:sp3d/>
        </c:spPr>
      </c:pivotFmt>
      <c:pivotFmt>
        <c:idx val="6"/>
        <c:spPr>
          <a:solidFill>
            <a:srgbClr val="FF0000"/>
          </a:solidFill>
          <a:ln>
            <a:noFill/>
          </a:ln>
          <a:effectLst/>
          <a:sp3d/>
        </c:spPr>
      </c:pivotFmt>
      <c:pivotFmt>
        <c:idx val="7"/>
        <c:spPr>
          <a:solidFill>
            <a:srgbClr val="92D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cost '!$C$6</c:f>
              <c:strCache>
                <c:ptCount val="1"/>
                <c:pt idx="0">
                  <c:v>Total</c:v>
                </c:pt>
              </c:strCache>
            </c:strRef>
          </c:tx>
          <c:spPr>
            <a:solidFill>
              <a:srgbClr val="FFC000"/>
            </a:solidFill>
            <a:ln>
              <a:noFill/>
            </a:ln>
            <a:effectLst/>
            <a:sp3d/>
          </c:spPr>
          <c:invertIfNegative val="0"/>
          <c:dPt>
            <c:idx val="0"/>
            <c:invertIfNegative val="0"/>
            <c:bubble3D val="0"/>
            <c:extLst>
              <c:ext xmlns:c16="http://schemas.microsoft.com/office/drawing/2014/chart" uri="{C3380CC4-5D6E-409C-BE32-E72D297353CC}">
                <c16:uniqueId val="{00000003-2DE5-4448-83E5-A4A7C3DBC3E1}"/>
              </c:ext>
            </c:extLst>
          </c:dPt>
          <c:dPt>
            <c:idx val="1"/>
            <c:invertIfNegative val="0"/>
            <c:bubble3D val="0"/>
            <c:extLst>
              <c:ext xmlns:c16="http://schemas.microsoft.com/office/drawing/2014/chart" uri="{C3380CC4-5D6E-409C-BE32-E72D297353CC}">
                <c16:uniqueId val="{00000001-2DE5-4448-83E5-A4A7C3DBC3E1}"/>
              </c:ext>
            </c:extLst>
          </c:dPt>
          <c:dPt>
            <c:idx val="2"/>
            <c:invertIfNegative val="0"/>
            <c:bubble3D val="0"/>
            <c:extLst>
              <c:ext xmlns:c16="http://schemas.microsoft.com/office/drawing/2014/chart" uri="{C3380CC4-5D6E-409C-BE32-E72D297353CC}">
                <c16:uniqueId val="{00000002-2DE5-4448-83E5-A4A7C3DBC3E1}"/>
              </c:ext>
            </c:extLst>
          </c:dPt>
          <c:cat>
            <c:strRef>
              <c:f>'Treatment cost '!$B$7</c:f>
              <c:strCache>
                <c:ptCount val="1"/>
                <c:pt idx="0">
                  <c:v>Calculated</c:v>
                </c:pt>
              </c:strCache>
            </c:strRef>
          </c:cat>
          <c:val>
            <c:numRef>
              <c:f>'Treatment cost '!$C$7</c:f>
              <c:numCache>
                <c:formatCode>#,##0</c:formatCode>
                <c:ptCount val="1"/>
                <c:pt idx="0">
                  <c:v>0</c:v>
                </c:pt>
              </c:numCache>
            </c:numRef>
          </c:val>
          <c:extLst>
            <c:ext xmlns:c16="http://schemas.microsoft.com/office/drawing/2014/chart" uri="{C3380CC4-5D6E-409C-BE32-E72D297353CC}">
              <c16:uniqueId val="{00000000-2DE5-4448-83E5-A4A7C3DBC3E1}"/>
            </c:ext>
          </c:extLst>
        </c:ser>
        <c:dLbls>
          <c:showLegendKey val="0"/>
          <c:showVal val="0"/>
          <c:showCatName val="0"/>
          <c:showSerName val="0"/>
          <c:showPercent val="0"/>
          <c:showBubbleSize val="0"/>
        </c:dLbls>
        <c:gapWidth val="150"/>
        <c:shape val="box"/>
        <c:axId val="1275265464"/>
        <c:axId val="1275260544"/>
        <c:axId val="0"/>
      </c:bar3DChart>
      <c:catAx>
        <c:axId val="1275265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60544"/>
        <c:crosses val="autoZero"/>
        <c:auto val="1"/>
        <c:lblAlgn val="ctr"/>
        <c:lblOffset val="100"/>
        <c:noMultiLvlLbl val="0"/>
      </c:catAx>
      <c:valAx>
        <c:axId val="127526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526546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[REQUIRED-ISMS-FORM-06-1 Asset-Based Risk Tool.xlsx]Treatment action owner !TreatmentActionOwner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 '!$C$6:$C$7</c:f>
              <c:strCache>
                <c:ptCount val="1"/>
                <c:pt idx="0">
                  <c:v>Calculated</c:v>
                </c:pt>
              </c:strCache>
            </c:strRef>
          </c:tx>
          <c:spPr>
            <a:solidFill>
              <a:schemeClr val="accent1"/>
            </a:solidFill>
            <a:ln>
              <a:noFill/>
            </a:ln>
            <a:effectLst/>
            <a:sp3d/>
          </c:spPr>
          <c:invertIfNegative val="0"/>
          <c:cat>
            <c:strRef>
              <c:f>'Treatment action owner '!$B$8</c:f>
              <c:strCache>
                <c:ptCount val="1"/>
                <c:pt idx="0">
                  <c:v>(blank)</c:v>
                </c:pt>
              </c:strCache>
            </c:strRef>
          </c:cat>
          <c:val>
            <c:numRef>
              <c:f>'Treatment action owner '!$C$8</c:f>
              <c:numCache>
                <c:formatCode>General</c:formatCode>
                <c:ptCount val="1"/>
              </c:numCache>
            </c:numRef>
          </c:val>
          <c:extLst>
            <c:ext xmlns:c16="http://schemas.microsoft.com/office/drawing/2014/chart" uri="{C3380CC4-5D6E-409C-BE32-E72D297353CC}">
              <c16:uniqueId val="{00000000-BDA9-4BEA-BC20-D8A3080FFCF0}"/>
            </c:ext>
          </c:extLst>
        </c:ser>
        <c:dLbls>
          <c:showLegendKey val="0"/>
          <c:showVal val="0"/>
          <c:showCatName val="0"/>
          <c:showSerName val="0"/>
          <c:showPercent val="0"/>
          <c:showBubbleSize val="0"/>
        </c:dLbls>
        <c:gapWidth val="150"/>
        <c:shape val="box"/>
        <c:axId val="1242980056"/>
        <c:axId val="1242986944"/>
        <c:axId val="0"/>
      </c:bar3DChart>
      <c:catAx>
        <c:axId val="124298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6944"/>
        <c:crosses val="autoZero"/>
        <c:auto val="1"/>
        <c:lblAlgn val="ctr"/>
        <c:lblOffset val="100"/>
        <c:noMultiLvlLbl val="0"/>
      </c:catAx>
      <c:valAx>
        <c:axId val="12429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005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3048000</xdr:colOff>
      <xdr:row>0</xdr:row>
      <xdr:rowOff>121920</xdr:rowOff>
    </xdr:from>
    <xdr:to>
      <xdr:col>2</xdr:col>
      <xdr:colOff>83820</xdr:colOff>
      <xdr:row>5</xdr:row>
      <xdr:rowOff>68580</xdr:rowOff>
    </xdr:to>
    <xdr:sp macro="" textlink="">
      <xdr:nvSpPr>
        <xdr:cNvPr id="2" name="TextBox 1">
          <a:extLst>
            <a:ext uri="{FF2B5EF4-FFF2-40B4-BE49-F238E27FC236}">
              <a16:creationId xmlns:a16="http://schemas.microsoft.com/office/drawing/2014/main" id="{40F892C1-B74E-4C25-9A7D-C56581B4B9AA}"/>
            </a:ext>
          </a:extLst>
        </xdr:cNvPr>
        <xdr:cNvSpPr txBox="1"/>
      </xdr:nvSpPr>
      <xdr:spPr>
        <a:xfrm>
          <a:off x="3238500" y="123825"/>
          <a:ext cx="324802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Asset-Based Risk</a:t>
          </a:r>
          <a:r>
            <a:rPr lang="en-GB" sz="1800" b="1" baseline="0">
              <a:solidFill>
                <a:schemeClr val="tx1"/>
              </a:solidFill>
            </a:rPr>
            <a:t> Assessment and Treatment Tool</a:t>
          </a:r>
          <a:endParaRPr lang="en-GB" sz="1800" b="1">
            <a:solidFill>
              <a:schemeClr val="tx1"/>
            </a:solidFill>
          </a:endParaRPr>
        </a:p>
        <a:p>
          <a:pPr algn="r"/>
          <a:r>
            <a:rPr lang="en-GB" sz="1200" b="0">
              <a:solidFill>
                <a:schemeClr val="tx1"/>
              </a:solidFill>
              <a:latin typeface="+mn-lt"/>
            </a:rPr>
            <a:t>ISMS-FORM-06-1</a:t>
          </a:r>
        </a:p>
      </xdr:txBody>
    </xdr:sp>
    <xdr:clientData/>
  </xdr:twoCellAnchor>
  <xdr:twoCellAnchor editAs="oneCell">
    <xdr:from>
      <xdr:col>0</xdr:col>
      <xdr:colOff>0</xdr:colOff>
      <xdr:row>0</xdr:row>
      <xdr:rowOff>0</xdr:rowOff>
    </xdr:from>
    <xdr:to>
      <xdr:col>1</xdr:col>
      <xdr:colOff>1828800</xdr:colOff>
      <xdr:row>6</xdr:row>
      <xdr:rowOff>929640</xdr:rowOff>
    </xdr:to>
    <xdr:pic>
      <xdr:nvPicPr>
        <xdr:cNvPr id="5" name="Picture 4">
          <a:extLst>
            <a:ext uri="{FF2B5EF4-FFF2-40B4-BE49-F238E27FC236}">
              <a16:creationId xmlns:a16="http://schemas.microsoft.com/office/drawing/2014/main" id="{B69BCED2-6C53-4530-A655-014E63BA6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3581400</xdr:colOff>
      <xdr:row>0</xdr:row>
      <xdr:rowOff>182879</xdr:rowOff>
    </xdr:from>
    <xdr:to>
      <xdr:col>3</xdr:col>
      <xdr:colOff>76200</xdr:colOff>
      <xdr:row>4</xdr:row>
      <xdr:rowOff>615314</xdr:rowOff>
    </xdr:to>
    <xdr:sp macro="" textlink="">
      <xdr:nvSpPr>
        <xdr:cNvPr id="2" name="TextBox 1">
          <a:extLst>
            <a:ext uri="{FF2B5EF4-FFF2-40B4-BE49-F238E27FC236}">
              <a16:creationId xmlns:a16="http://schemas.microsoft.com/office/drawing/2014/main" id="{B16912E5-8F30-46E0-95B6-EAB6D64A3E19}"/>
            </a:ext>
          </a:extLst>
        </xdr:cNvPr>
        <xdr:cNvSpPr txBox="1"/>
      </xdr:nvSpPr>
      <xdr:spPr>
        <a:xfrm>
          <a:off x="5438775" y="190499"/>
          <a:ext cx="2076450"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Asset-Based Risk</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Assessment and</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ar-SA" sz="1200" b="0" i="0" u="none" strike="noStrike" kern="0" cap="none" spc="0" normalizeH="0" baseline="0" noProof="0">
              <a:ln>
                <a:noFill/>
              </a:ln>
              <a:solidFill>
                <a:srgbClr val="444444"/>
              </a:solidFill>
              <a:effectLst/>
              <a:uLnTx/>
              <a:uFillTx/>
              <a:latin typeface="+mn-lt"/>
              <a:ea typeface="+mn-ea"/>
              <a:cs typeface="+mn-cs"/>
            </a:rPr>
            <a:t>  </a:t>
          </a:r>
          <a:r>
            <a:rPr kumimoji="0" lang="en-GB" sz="1200" b="0" i="0" u="none" strike="noStrike" kern="0" cap="none" spc="0" normalizeH="0" baseline="0" noProof="0">
              <a:ln>
                <a:noFill/>
              </a:ln>
              <a:solidFill>
                <a:srgbClr val="444444"/>
              </a:solidFill>
              <a:effectLst/>
              <a:uLnTx/>
              <a:uFillTx/>
              <a:latin typeface="+mn-lt"/>
              <a:ea typeface="+mn-ea"/>
              <a:cs typeface="+mn-cs"/>
            </a:rPr>
            <a:t>ISMS-FORM-06-1</a:t>
          </a:r>
        </a:p>
      </xdr:txBody>
    </xdr:sp>
    <xdr:clientData/>
  </xdr:twoCellAnchor>
  <xdr:twoCellAnchor editAs="oneCell">
    <xdr:from>
      <xdr:col>0</xdr:col>
      <xdr:colOff>0</xdr:colOff>
      <xdr:row>0</xdr:row>
      <xdr:rowOff>0</xdr:rowOff>
    </xdr:from>
    <xdr:to>
      <xdr:col>2</xdr:col>
      <xdr:colOff>114300</xdr:colOff>
      <xdr:row>6</xdr:row>
      <xdr:rowOff>91440</xdr:rowOff>
    </xdr:to>
    <xdr:pic>
      <xdr:nvPicPr>
        <xdr:cNvPr id="4" name="Picture 3">
          <a:extLst>
            <a:ext uri="{FF2B5EF4-FFF2-40B4-BE49-F238E27FC236}">
              <a16:creationId xmlns:a16="http://schemas.microsoft.com/office/drawing/2014/main" id="{BD446C8B-DBAE-4605-8094-5C58FD045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619125</xdr:colOff>
      <xdr:row>1</xdr:row>
      <xdr:rowOff>0</xdr:rowOff>
    </xdr:from>
    <xdr:to>
      <xdr:col>22</xdr:col>
      <xdr:colOff>342900</xdr:colOff>
      <xdr:row>10</xdr:row>
      <xdr:rowOff>133350</xdr:rowOff>
    </xdr:to>
    <xdr:grpSp>
      <xdr:nvGrpSpPr>
        <xdr:cNvPr id="2" name="Group 1">
          <a:extLst>
            <a:ext uri="{FF2B5EF4-FFF2-40B4-BE49-F238E27FC236}">
              <a16:creationId xmlns:a16="http://schemas.microsoft.com/office/drawing/2014/main" id="{8213393A-3847-464E-99C8-4BF709795B4D}"/>
            </a:ext>
          </a:extLst>
        </xdr:cNvPr>
        <xdr:cNvGrpSpPr/>
      </xdr:nvGrpSpPr>
      <xdr:grpSpPr>
        <a:xfrm>
          <a:off x="9869805" y="182880"/>
          <a:ext cx="11290935" cy="2617470"/>
          <a:chOff x="6448425" y="190500"/>
          <a:chExt cx="10972800" cy="1809750"/>
        </a:xfrm>
      </xdr:grpSpPr>
      <mc:AlternateContent xmlns:mc="http://schemas.openxmlformats.org/markup-compatibility/2006" xmlns:sle15="http://schemas.microsoft.com/office/drawing/2012/slicer">
        <mc:Choice Requires="sle15">
          <xdr:graphicFrame macro="">
            <xdr:nvGraphicFramePr>
              <xdr:cNvPr id="3" name="Risk Owner">
                <a:extLst>
                  <a:ext uri="{FF2B5EF4-FFF2-40B4-BE49-F238E27FC236}">
                    <a16:creationId xmlns:a16="http://schemas.microsoft.com/office/drawing/2014/main" id="{00000000-0008-0000-0200-000003000000}"/>
                  </a:ext>
                </a:extLst>
              </xdr:cNvPr>
              <xdr:cNvGraphicFramePr>
                <a:graphicFrameLocks noChangeAspect="1"/>
              </xdr:cNvGraphicFramePr>
            </xdr:nvGraphicFramePr>
            <xdr:xfrm>
              <a:off x="6448425" y="190500"/>
              <a:ext cx="1828800" cy="180340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96202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isk level">
                <a:extLst>
                  <a:ext uri="{FF2B5EF4-FFF2-40B4-BE49-F238E27FC236}">
                    <a16:creationId xmlns:a16="http://schemas.microsoft.com/office/drawing/2014/main" id="{00000000-0008-0000-0200-000004000000}"/>
                  </a:ext>
                </a:extLst>
              </xdr:cNvPr>
              <xdr:cNvGraphicFramePr>
                <a:graphicFrameLocks noChangeAspect="1"/>
              </xdr:cNvGraphicFramePr>
            </xdr:nvGraphicFramePr>
            <xdr:xfrm>
              <a:off x="8277225" y="190500"/>
              <a:ext cx="1828800" cy="180340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14490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4" name="Post-Treatment Risk Level">
                <a:extLst>
                  <a:ext uri="{FF2B5EF4-FFF2-40B4-BE49-F238E27FC236}">
                    <a16:creationId xmlns:a16="http://schemas.microsoft.com/office/drawing/2014/main" id="{00000000-0008-0000-0200-00000E000000}"/>
                  </a:ext>
                </a:extLst>
              </xdr:cNvPr>
              <xdr:cNvGraphicFramePr/>
            </xdr:nvGraphicFramePr>
            <xdr:xfrm>
              <a:off x="15592425" y="190500"/>
              <a:ext cx="1828800" cy="180340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87642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6" name="Treatment Action Owner 1">
                <a:extLst>
                  <a:ext uri="{FF2B5EF4-FFF2-40B4-BE49-F238E27FC236}">
                    <a16:creationId xmlns:a16="http://schemas.microsoft.com/office/drawing/2014/main" id="{00000000-0008-0000-0200-000010000000}"/>
                  </a:ext>
                </a:extLst>
              </xdr:cNvPr>
              <xdr:cNvGraphicFramePr/>
            </xdr:nvGraphicFramePr>
            <xdr:xfrm>
              <a:off x="11934825" y="190500"/>
              <a:ext cx="1828800" cy="1800226"/>
            </xdr:xfrm>
            <a:graphic>
              <a:graphicData uri="http://schemas.microsoft.com/office/drawing/2010/slicer">
                <sle:slicer xmlns:sle="http://schemas.microsoft.com/office/drawing/2010/slicer" name="Treatment Action Owner 1"/>
              </a:graphicData>
            </a:graphic>
          </xdr:graphicFrame>
        </mc:Choice>
        <mc:Fallback xmlns="">
          <xdr:sp macro="" textlink="">
            <xdr:nvSpPr>
              <xdr:cNvPr id="0" name=""/>
              <xdr:cNvSpPr>
                <a:spLocks noTextEdit="1"/>
              </xdr:cNvSpPr>
            </xdr:nvSpPr>
            <xdr:spPr>
              <a:xfrm>
                <a:off x="15106650" y="190500"/>
                <a:ext cx="1828800" cy="172442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7" name="Treatment Action Status 1">
                <a:extLst>
                  <a:ext uri="{FF2B5EF4-FFF2-40B4-BE49-F238E27FC236}">
                    <a16:creationId xmlns:a16="http://schemas.microsoft.com/office/drawing/2014/main" id="{00000000-0008-0000-0200-000011000000}"/>
                  </a:ext>
                </a:extLst>
              </xdr:cNvPr>
              <xdr:cNvGraphicFramePr/>
            </xdr:nvGraphicFramePr>
            <xdr:xfrm>
              <a:off x="13763625" y="190500"/>
              <a:ext cx="1828800" cy="1800226"/>
            </xdr:xfrm>
            <a:graphic>
              <a:graphicData uri="http://schemas.microsoft.com/office/drawing/2010/slicer">
                <sle:slicer xmlns:sle="http://schemas.microsoft.com/office/drawing/2010/slicer" name="Treatment Action Status 1"/>
              </a:graphicData>
            </a:graphic>
          </xdr:graphicFrame>
        </mc:Choice>
        <mc:Fallback xmlns="">
          <xdr:sp macro="" textlink="">
            <xdr:nvSpPr>
              <xdr:cNvPr id="0" name=""/>
              <xdr:cNvSpPr>
                <a:spLocks noTextEdit="1"/>
              </xdr:cNvSpPr>
            </xdr:nvSpPr>
            <xdr:spPr>
              <a:xfrm>
                <a:off x="16935450" y="190500"/>
                <a:ext cx="1828800" cy="172442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20" name="Treatment option chosen 2">
                <a:extLst>
                  <a:ext uri="{FF2B5EF4-FFF2-40B4-BE49-F238E27FC236}">
                    <a16:creationId xmlns:a16="http://schemas.microsoft.com/office/drawing/2014/main" id="{00000000-0008-0000-0200-000014000000}"/>
                  </a:ext>
                </a:extLst>
              </xdr:cNvPr>
              <xdr:cNvGraphicFramePr/>
            </xdr:nvGraphicFramePr>
            <xdr:xfrm>
              <a:off x="10106025" y="190500"/>
              <a:ext cx="1828800" cy="1809750"/>
            </xdr:xfrm>
            <a:graphic>
              <a:graphicData uri="http://schemas.microsoft.com/office/drawing/2010/slicer">
                <sle:slicer xmlns:sle="http://schemas.microsoft.com/office/drawing/2010/slicer" name="Treatment option chosen 2"/>
              </a:graphicData>
            </a:graphic>
          </xdr:graphicFrame>
        </mc:Choice>
        <mc:Fallback xmlns="">
          <xdr:sp macro="" textlink="">
            <xdr:nvSpPr>
              <xdr:cNvPr id="0" name=""/>
              <xdr:cNvSpPr>
                <a:spLocks noTextEdit="1"/>
              </xdr:cNvSpPr>
            </xdr:nvSpPr>
            <xdr:spPr>
              <a:xfrm>
                <a:off x="13277850" y="190500"/>
                <a:ext cx="1828800" cy="17335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fPrintsWithSheet="0"/>
  </xdr:twoCellAnchor>
  <xdr:twoCellAnchor editAs="oneCell">
    <xdr:from>
      <xdr:col>0</xdr:col>
      <xdr:colOff>0</xdr:colOff>
      <xdr:row>0</xdr:row>
      <xdr:rowOff>0</xdr:rowOff>
    </xdr:from>
    <xdr:to>
      <xdr:col>3</xdr:col>
      <xdr:colOff>441960</xdr:colOff>
      <xdr:row>7</xdr:row>
      <xdr:rowOff>0</xdr:rowOff>
    </xdr:to>
    <xdr:pic>
      <xdr:nvPicPr>
        <xdr:cNvPr id="10" name="Picture 9">
          <a:extLst>
            <a:ext uri="{FF2B5EF4-FFF2-40B4-BE49-F238E27FC236}">
              <a16:creationId xmlns:a16="http://schemas.microsoft.com/office/drawing/2014/main" id="{2E3D5EE4-4D39-43A8-8516-9715910C3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190499</xdr:colOff>
      <xdr:row>12</xdr:row>
      <xdr:rowOff>0</xdr:rowOff>
    </xdr:from>
    <xdr:to>
      <xdr:col>25</xdr:col>
      <xdr:colOff>572474</xdr:colOff>
      <xdr:row>30</xdr:row>
      <xdr:rowOff>171000</xdr:rowOff>
    </xdr:to>
    <xdr:grpSp>
      <xdr:nvGrpSpPr>
        <xdr:cNvPr id="17" name="Group 16">
          <a:extLst>
            <a:ext uri="{FF2B5EF4-FFF2-40B4-BE49-F238E27FC236}">
              <a16:creationId xmlns:a16="http://schemas.microsoft.com/office/drawing/2014/main" id="{AADA8BC4-90B2-472D-A533-31ACEB2E98C7}"/>
            </a:ext>
          </a:extLst>
        </xdr:cNvPr>
        <xdr:cNvGrpSpPr/>
      </xdr:nvGrpSpPr>
      <xdr:grpSpPr>
        <a:xfrm>
          <a:off x="190499" y="3185160"/>
          <a:ext cx="16764975" cy="3600000"/>
          <a:chOff x="190499" y="2638425"/>
          <a:chExt cx="16117275" cy="3600000"/>
        </a:xfrm>
      </xdr:grpSpPr>
      <xdr:graphicFrame macro="">
        <xdr:nvGraphicFramePr>
          <xdr:cNvPr id="15" name="Chart 14">
            <a:extLst>
              <a:ext uri="{FF2B5EF4-FFF2-40B4-BE49-F238E27FC236}">
                <a16:creationId xmlns:a16="http://schemas.microsoft.com/office/drawing/2014/main" id="{E41A4192-0A9D-4B65-ADB5-26BB8310DB7B}"/>
              </a:ext>
            </a:extLst>
          </xdr:cNvPr>
          <xdr:cNvGraphicFramePr>
            <a:graphicFrameLocks/>
          </xdr:cNvGraphicFramePr>
        </xdr:nvGraphicFramePr>
        <xdr:xfrm>
          <a:off x="190499" y="2638425"/>
          <a:ext cx="5076825" cy="360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C8DD7610-DD94-4A03-974D-4F14CD58F544}"/>
              </a:ext>
            </a:extLst>
          </xdr:cNvPr>
          <xdr:cNvGraphicFramePr>
            <a:graphicFrameLocks/>
          </xdr:cNvGraphicFramePr>
        </xdr:nvGraphicFramePr>
        <xdr:xfrm>
          <a:off x="5972174" y="2638425"/>
          <a:ext cx="10335600" cy="36000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0</xdr:colOff>
      <xdr:row>35</xdr:row>
      <xdr:rowOff>0</xdr:rowOff>
    </xdr:from>
    <xdr:to>
      <xdr:col>6</xdr:col>
      <xdr:colOff>904050</xdr:colOff>
      <xdr:row>53</xdr:row>
      <xdr:rowOff>171000</xdr:rowOff>
    </xdr:to>
    <xdr:graphicFrame macro="">
      <xdr:nvGraphicFramePr>
        <xdr:cNvPr id="18" name="Chart 17">
          <a:extLst>
            <a:ext uri="{FF2B5EF4-FFF2-40B4-BE49-F238E27FC236}">
              <a16:creationId xmlns:a16="http://schemas.microsoft.com/office/drawing/2014/main" id="{D6D9B2F6-C980-4D83-99B0-9A2898F2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19" name="Chart 18">
          <a:extLst>
            <a:ext uri="{FF2B5EF4-FFF2-40B4-BE49-F238E27FC236}">
              <a16:creationId xmlns:a16="http://schemas.microsoft.com/office/drawing/2014/main" id="{AE9D9CEA-5084-4E87-9CF9-0699C541B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73</xdr:row>
      <xdr:rowOff>0</xdr:rowOff>
    </xdr:from>
    <xdr:to>
      <xdr:col>25</xdr:col>
      <xdr:colOff>569925</xdr:colOff>
      <xdr:row>91</xdr:row>
      <xdr:rowOff>171000</xdr:rowOff>
    </xdr:to>
    <xdr:grpSp>
      <xdr:nvGrpSpPr>
        <xdr:cNvPr id="25" name="Group 24">
          <a:extLst>
            <a:ext uri="{FF2B5EF4-FFF2-40B4-BE49-F238E27FC236}">
              <a16:creationId xmlns:a16="http://schemas.microsoft.com/office/drawing/2014/main" id="{C6088B83-6AB7-4801-A2E4-093E045A7F94}"/>
            </a:ext>
          </a:extLst>
        </xdr:cNvPr>
        <xdr:cNvGrpSpPr/>
      </xdr:nvGrpSpPr>
      <xdr:grpSpPr>
        <a:xfrm>
          <a:off x="198120" y="17937480"/>
          <a:ext cx="16754805" cy="3462840"/>
          <a:chOff x="190500" y="17468850"/>
          <a:chExt cx="16114725" cy="3600000"/>
        </a:xfrm>
      </xdr:grpSpPr>
      <xdr:graphicFrame macro="">
        <xdr:nvGraphicFramePr>
          <xdr:cNvPr id="20" name="Chart 19">
            <a:extLst>
              <a:ext uri="{FF2B5EF4-FFF2-40B4-BE49-F238E27FC236}">
                <a16:creationId xmlns:a16="http://schemas.microsoft.com/office/drawing/2014/main" id="{76A4D09A-E880-498D-82C8-99E7F5BFE758}"/>
              </a:ext>
            </a:extLst>
          </xdr:cNvPr>
          <xdr:cNvGraphicFramePr>
            <a:graphicFrameLocks/>
          </xdr:cNvGraphicFramePr>
        </xdr:nvGraphicFramePr>
        <xdr:xfrm>
          <a:off x="190500" y="17468850"/>
          <a:ext cx="4320000" cy="3600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3" name="Chart 22">
            <a:extLst>
              <a:ext uri="{FF2B5EF4-FFF2-40B4-BE49-F238E27FC236}">
                <a16:creationId xmlns:a16="http://schemas.microsoft.com/office/drawing/2014/main" id="{70BB359A-D0CC-4407-A627-25BB9BC588BC}"/>
              </a:ext>
            </a:extLst>
          </xdr:cNvPr>
          <xdr:cNvGraphicFramePr>
            <a:graphicFrameLocks/>
          </xdr:cNvGraphicFramePr>
        </xdr:nvGraphicFramePr>
        <xdr:xfrm>
          <a:off x="4691063" y="17468850"/>
          <a:ext cx="4320000"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4" name="Chart 23">
            <a:extLst>
              <a:ext uri="{FF2B5EF4-FFF2-40B4-BE49-F238E27FC236}">
                <a16:creationId xmlns:a16="http://schemas.microsoft.com/office/drawing/2014/main" id="{2329440E-6C66-4B61-868F-D650058EAF85}"/>
              </a:ext>
            </a:extLst>
          </xdr:cNvPr>
          <xdr:cNvGraphicFramePr>
            <a:graphicFrameLocks/>
          </xdr:cNvGraphicFramePr>
        </xdr:nvGraphicFramePr>
        <xdr:xfrm>
          <a:off x="9191625" y="17468850"/>
          <a:ext cx="7113600" cy="36000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0</xdr:colOff>
      <xdr:row>0</xdr:row>
      <xdr:rowOff>0</xdr:rowOff>
    </xdr:from>
    <xdr:to>
      <xdr:col>3</xdr:col>
      <xdr:colOff>365760</xdr:colOff>
      <xdr:row>6</xdr:row>
      <xdr:rowOff>106680</xdr:rowOff>
    </xdr:to>
    <xdr:pic>
      <xdr:nvPicPr>
        <xdr:cNvPr id="12" name="Picture 11">
          <a:extLst>
            <a:ext uri="{FF2B5EF4-FFF2-40B4-BE49-F238E27FC236}">
              <a16:creationId xmlns:a16="http://schemas.microsoft.com/office/drawing/2014/main" id="{08331A51-1A36-48B2-8824-929CB62553C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1828800</xdr:colOff>
      <xdr:row>6</xdr:row>
      <xdr:rowOff>929640</xdr:rowOff>
    </xdr:to>
    <xdr:pic>
      <xdr:nvPicPr>
        <xdr:cNvPr id="4" name="Picture 3">
          <a:extLst>
            <a:ext uri="{FF2B5EF4-FFF2-40B4-BE49-F238E27FC236}">
              <a16:creationId xmlns:a16="http://schemas.microsoft.com/office/drawing/2014/main" id="{EA788519-3DCF-452E-998D-635C8A739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5</xdr:row>
      <xdr:rowOff>38100</xdr:rowOff>
    </xdr:to>
    <xdr:pic>
      <xdr:nvPicPr>
        <xdr:cNvPr id="3" name="Picture 2">
          <a:extLst>
            <a:ext uri="{FF2B5EF4-FFF2-40B4-BE49-F238E27FC236}">
              <a16:creationId xmlns:a16="http://schemas.microsoft.com/office/drawing/2014/main" id="{9D304562-3DF9-4F06-8484-9F9F80931A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556260</xdr:colOff>
      <xdr:row>7</xdr:row>
      <xdr:rowOff>45720</xdr:rowOff>
    </xdr:to>
    <xdr:pic>
      <xdr:nvPicPr>
        <xdr:cNvPr id="3" name="Picture 2">
          <a:extLst>
            <a:ext uri="{FF2B5EF4-FFF2-40B4-BE49-F238E27FC236}">
              <a16:creationId xmlns:a16="http://schemas.microsoft.com/office/drawing/2014/main" id="{9AD10553-F4CC-4471-A803-5E485B9344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480060</xdr:colOff>
      <xdr:row>7</xdr:row>
      <xdr:rowOff>15240</xdr:rowOff>
    </xdr:to>
    <xdr:pic>
      <xdr:nvPicPr>
        <xdr:cNvPr id="3" name="Picture 2">
          <a:extLst>
            <a:ext uri="{FF2B5EF4-FFF2-40B4-BE49-F238E27FC236}">
              <a16:creationId xmlns:a16="http://schemas.microsoft.com/office/drawing/2014/main" id="{E079D698-3020-4452-94D8-5A41D73FB0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1028700</xdr:colOff>
      <xdr:row>6</xdr:row>
      <xdr:rowOff>22860</xdr:rowOff>
    </xdr:to>
    <xdr:pic>
      <xdr:nvPicPr>
        <xdr:cNvPr id="4" name="Picture 3">
          <a:extLst>
            <a:ext uri="{FF2B5EF4-FFF2-40B4-BE49-F238E27FC236}">
              <a16:creationId xmlns:a16="http://schemas.microsoft.com/office/drawing/2014/main" id="{5CF011C9-FB72-4641-9C8A-CDB9EA29A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541020</xdr:colOff>
      <xdr:row>6</xdr:row>
      <xdr:rowOff>99060</xdr:rowOff>
    </xdr:to>
    <xdr:pic>
      <xdr:nvPicPr>
        <xdr:cNvPr id="4" name="Picture 3">
          <a:extLst>
            <a:ext uri="{FF2B5EF4-FFF2-40B4-BE49-F238E27FC236}">
              <a16:creationId xmlns:a16="http://schemas.microsoft.com/office/drawing/2014/main" id="{698C3945-7F17-4BC7-9D71-FB84EDD8B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26920" cy="20269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ownloads\&#1578;&#1602;&#1610;&#1610;&#1605;_&#1608;&#1605;&#1593;&#1575;&#1604;&#1580;&#1577;_&#1575;&#1604;&#1605;&#1582;&#1575;&#1591;&#1585;_&#1576;&#1606;&#1603;_&#1575;&#1604;&#1570;&#1601;&#1575;&#1602;_&#1575;&#1604;&#1585;&#1602;&#1605;&#1610;&#157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Assessment Details"/>
      <sheetName val="Risk Assessment"/>
      <sheetName val="Dashboard"/>
      <sheetName val="Pre-treatment risks"/>
      <sheetName val="Pre-treat risk levels by owner"/>
      <sheetName val="Post-treatment risks"/>
      <sheetName val="Risks by risk level pre &amp; post"/>
      <sheetName val="Treatment option chosen"/>
      <sheetName val="Treatment cost "/>
      <sheetName val="Treatment action owner "/>
      <sheetName val="Reference Controls"/>
      <sheetName val="Example ATV Risks"/>
      <sheetName val="Example Assets"/>
      <sheetName val="Example Threats"/>
      <sheetName val="Likelihood"/>
      <sheetName val="Impact"/>
      <sheetName val="Selection Tables"/>
      <sheetName val="Pivot tables"/>
      <sheetName val="تقييم_ومعالجة_المخاطر_بنك_الآف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84259" createdVersion="6" refreshedVersion="6" minRefreshableVersion="3" recordCount="3" xr:uid="{4866C044-9A83-4F76-991A-D830CBE6FB4C}">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958336" createdVersion="6" refreshedVersion="6" minRefreshableVersion="3" recordCount="3" xr:uid="{DEE2D96F-875B-47BD-A15F-8F45621780F9}">
  <cacheSource type="worksheet">
    <worksheetSource name="PreTreatment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189813" missingItemsLimit="0" createdVersion="6" refreshedVersion="6" minRefreshableVersion="3" recordCount="20" xr:uid="{D4528FD9-AD79-4888-BF3A-A1D44A9D054F}">
  <cacheSource type="worksheet">
    <worksheetSource name="RiskAssessment"/>
  </cacheSource>
  <cacheFields count="29">
    <cacheField name="Ref" numFmtId="0">
      <sharedItems containsSemiMixedTypes="0" containsString="0" containsNumber="1" containsInteger="1" minValue="1" maxValue="20"/>
    </cacheField>
    <cacheField name="Asset Group" numFmtId="0">
      <sharedItems containsNonDate="0" containsString="0" containsBlank="1"/>
    </cacheField>
    <cacheField name="Asset" numFmtId="0">
      <sharedItems containsNonDate="0" containsString="0" containsBlank="1"/>
    </cacheField>
    <cacheField name="Threat" numFmtId="0">
      <sharedItems containsNonDate="0" containsString="0" containsBlank="1"/>
    </cacheField>
    <cacheField name="Vulnerability" numFmtId="0">
      <sharedItems containsNonDate="0" containsString="0" containsBlank="1"/>
    </cacheField>
    <cacheField name="Risk Type" numFmtId="0">
      <sharedItems count="1">
        <s v="Select…"/>
      </sharedItems>
    </cacheField>
    <cacheField name="Risk Owner" numFmtId="0">
      <sharedItems containsNonDate="0" containsString="0" containsBlank="1" count="1">
        <m/>
      </sharedItems>
    </cacheField>
    <cacheField name="Existing Controls" numFmtId="0">
      <sharedItems containsNonDate="0" containsString="0" containsBlank="1"/>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Risk Score" numFmtId="0">
      <sharedItems/>
    </cacheField>
    <cacheField name="Risk Level" numFmtId="0">
      <sharedItems count="1">
        <s v="Calculated"/>
      </sharedItems>
    </cacheField>
    <cacheField name="Treatment Option Chosen" numFmtId="0">
      <sharedItems count="1">
        <s v="Select…"/>
      </sharedItems>
    </cacheField>
    <cacheField name="Proposed Treatment Action" numFmtId="0">
      <sharedItems containsNonDate="0" containsString="0" containsBlank="1"/>
    </cacheField>
    <cacheField name="Annex A/Control Reference" numFmtId="0">
      <sharedItems containsNonDate="0" containsString="0" containsBlank="1"/>
    </cacheField>
    <cacheField name="Treatment Cost" numFmtId="43">
      <sharedItems containsSemiMixedTypes="0" containsString="0" containsNumber="1" containsInteger="1" minValue="0" maxValue="0"/>
    </cacheField>
    <cacheField name="Treatment Action Owner" numFmtId="0">
      <sharedItems containsNonDate="0" containsString="0" containsBlank="1" count="1">
        <m/>
      </sharedItems>
    </cacheField>
    <cacheField name="Treatment Action Timescale" numFmtId="0">
      <sharedItems containsNonDate="0" containsString="0" containsBlank="1"/>
    </cacheField>
    <cacheField name="Treatment Action Progress" numFmtId="0">
      <sharedItems containsNonDate="0" containsString="0" containsBlank="1"/>
    </cacheField>
    <cacheField name="Treatment Action Status" numFmtId="0">
      <sharedItems/>
    </cacheField>
    <cacheField name="Post-Treatment Likelihood" numFmtId="0">
      <sharedItems/>
    </cacheField>
    <cacheField name="Post-Treatment Likelihood Rationale" numFmtId="0">
      <sharedItems containsNonDate="0" containsString="0" containsBlank="1"/>
    </cacheField>
    <cacheField name="Post- Treatment Impact" numFmtId="0">
      <sharedItems/>
    </cacheField>
    <cacheField name="Post-Treatment Impact Rationale" numFmtId="0">
      <sharedItems containsNonDate="0" containsString="0" containsBlank="1"/>
    </cacheField>
    <cacheField name="Post-Treatment Risk Score" numFmtId="0">
      <sharedItems/>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768521" createdVersion="6" refreshedVersion="6" minRefreshableVersion="3" recordCount="3" xr:uid="{24BCF65A-4BA1-4573-989E-EBE63294D3D9}">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0" maxValue="0"/>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m/>
    <m/>
    <x v="0"/>
    <x v="0"/>
    <m/>
    <s v="Select…"/>
    <m/>
    <s v="Select…"/>
    <m/>
    <s v="Calculated"/>
    <x v="0"/>
    <x v="0"/>
    <m/>
    <m/>
    <n v="0"/>
    <x v="0"/>
    <m/>
    <m/>
    <s v="Select…"/>
    <s v="Select…"/>
    <m/>
    <s v="Select…"/>
    <m/>
    <s v="Calculated"/>
    <s v="Calculated"/>
    <m/>
  </r>
  <r>
    <n v="2"/>
    <m/>
    <m/>
    <m/>
    <m/>
    <x v="0"/>
    <x v="0"/>
    <m/>
    <s v="Select…"/>
    <m/>
    <s v="Select…"/>
    <m/>
    <s v="Calculated"/>
    <x v="0"/>
    <x v="0"/>
    <m/>
    <m/>
    <n v="0"/>
    <x v="0"/>
    <m/>
    <m/>
    <s v="Select…"/>
    <s v="Select…"/>
    <m/>
    <s v="Select…"/>
    <m/>
    <s v="Calculated"/>
    <s v="Calculated"/>
    <m/>
  </r>
  <r>
    <n v="3"/>
    <m/>
    <m/>
    <m/>
    <m/>
    <x v="0"/>
    <x v="0"/>
    <m/>
    <s v="Select…"/>
    <m/>
    <s v="Select…"/>
    <m/>
    <s v="Calculated"/>
    <x v="0"/>
    <x v="0"/>
    <m/>
    <m/>
    <n v="0"/>
    <x v="0"/>
    <m/>
    <m/>
    <s v="Select…"/>
    <s v="Select…"/>
    <m/>
    <s v="Select…"/>
    <m/>
    <s v="Calculated"/>
    <s v="Calculated"/>
    <m/>
  </r>
  <r>
    <n v="4"/>
    <m/>
    <m/>
    <m/>
    <m/>
    <x v="0"/>
    <x v="0"/>
    <m/>
    <s v="Select…"/>
    <m/>
    <s v="Select…"/>
    <m/>
    <s v="Calculated"/>
    <x v="0"/>
    <x v="0"/>
    <m/>
    <m/>
    <n v="0"/>
    <x v="0"/>
    <m/>
    <m/>
    <s v="Select…"/>
    <s v="Select…"/>
    <m/>
    <s v="Select…"/>
    <m/>
    <s v="Calculated"/>
    <s v="Calculated"/>
    <m/>
  </r>
  <r>
    <n v="5"/>
    <m/>
    <m/>
    <m/>
    <m/>
    <x v="0"/>
    <x v="0"/>
    <m/>
    <s v="Select…"/>
    <m/>
    <s v="Select…"/>
    <m/>
    <s v="Calculated"/>
    <x v="0"/>
    <x v="0"/>
    <m/>
    <m/>
    <n v="0"/>
    <x v="0"/>
    <m/>
    <m/>
    <s v="Select…"/>
    <s v="Select…"/>
    <m/>
    <s v="Select…"/>
    <m/>
    <s v="Calculated"/>
    <s v="Calculated"/>
    <m/>
  </r>
  <r>
    <n v="6"/>
    <m/>
    <m/>
    <m/>
    <m/>
    <x v="0"/>
    <x v="0"/>
    <m/>
    <s v="Select…"/>
    <m/>
    <s v="Select…"/>
    <m/>
    <s v="Calculated"/>
    <x v="0"/>
    <x v="0"/>
    <m/>
    <m/>
    <n v="0"/>
    <x v="0"/>
    <m/>
    <m/>
    <s v="Select…"/>
    <s v="Select…"/>
    <m/>
    <s v="Select…"/>
    <m/>
    <s v="Calculated"/>
    <s v="Calculated"/>
    <m/>
  </r>
  <r>
    <n v="7"/>
    <m/>
    <m/>
    <m/>
    <m/>
    <x v="0"/>
    <x v="0"/>
    <m/>
    <s v="Select…"/>
    <m/>
    <s v="Select…"/>
    <m/>
    <s v="Calculated"/>
    <x v="0"/>
    <x v="0"/>
    <m/>
    <m/>
    <n v="0"/>
    <x v="0"/>
    <m/>
    <m/>
    <s v="Select…"/>
    <s v="Select…"/>
    <m/>
    <s v="Select…"/>
    <m/>
    <s v="Calculated"/>
    <s v="Calculated"/>
    <m/>
  </r>
  <r>
    <n v="8"/>
    <m/>
    <m/>
    <m/>
    <m/>
    <x v="0"/>
    <x v="0"/>
    <m/>
    <s v="Select…"/>
    <m/>
    <s v="Select…"/>
    <m/>
    <s v="Calculated"/>
    <x v="0"/>
    <x v="0"/>
    <m/>
    <m/>
    <n v="0"/>
    <x v="0"/>
    <m/>
    <m/>
    <s v="Select…"/>
    <s v="Select…"/>
    <m/>
    <s v="Select…"/>
    <m/>
    <s v="Calculated"/>
    <s v="Calculated"/>
    <m/>
  </r>
  <r>
    <n v="9"/>
    <m/>
    <m/>
    <m/>
    <m/>
    <x v="0"/>
    <x v="0"/>
    <m/>
    <s v="Select…"/>
    <m/>
    <s v="Select…"/>
    <m/>
    <s v="Calculated"/>
    <x v="0"/>
    <x v="0"/>
    <m/>
    <m/>
    <n v="0"/>
    <x v="0"/>
    <m/>
    <m/>
    <s v="Select…"/>
    <s v="Select…"/>
    <m/>
    <s v="Select…"/>
    <m/>
    <s v="Calculated"/>
    <s v="Calculated"/>
    <m/>
  </r>
  <r>
    <n v="10"/>
    <m/>
    <m/>
    <m/>
    <m/>
    <x v="0"/>
    <x v="0"/>
    <m/>
    <s v="Select…"/>
    <m/>
    <s v="Select…"/>
    <m/>
    <s v="Calculated"/>
    <x v="0"/>
    <x v="0"/>
    <m/>
    <m/>
    <n v="0"/>
    <x v="0"/>
    <m/>
    <m/>
    <s v="Select…"/>
    <s v="Select…"/>
    <m/>
    <s v="Select…"/>
    <m/>
    <s v="Calculated"/>
    <s v="Calculated"/>
    <m/>
  </r>
  <r>
    <n v="11"/>
    <m/>
    <m/>
    <m/>
    <m/>
    <x v="0"/>
    <x v="0"/>
    <m/>
    <s v="Select…"/>
    <m/>
    <s v="Select…"/>
    <m/>
    <s v="Calculated"/>
    <x v="0"/>
    <x v="0"/>
    <m/>
    <m/>
    <n v="0"/>
    <x v="0"/>
    <m/>
    <m/>
    <s v="Select…"/>
    <s v="Select…"/>
    <m/>
    <s v="Select…"/>
    <m/>
    <s v="Calculated"/>
    <s v="Calculated"/>
    <m/>
  </r>
  <r>
    <n v="12"/>
    <m/>
    <m/>
    <m/>
    <m/>
    <x v="0"/>
    <x v="0"/>
    <m/>
    <s v="Select…"/>
    <m/>
    <s v="Select…"/>
    <m/>
    <s v="Calculated"/>
    <x v="0"/>
    <x v="0"/>
    <m/>
    <m/>
    <n v="0"/>
    <x v="0"/>
    <m/>
    <m/>
    <s v="Select…"/>
    <s v="Select…"/>
    <m/>
    <s v="Select…"/>
    <m/>
    <s v="Calculated"/>
    <s v="Calculated"/>
    <m/>
  </r>
  <r>
    <n v="13"/>
    <m/>
    <m/>
    <m/>
    <m/>
    <x v="0"/>
    <x v="0"/>
    <m/>
    <s v="Select…"/>
    <m/>
    <s v="Select…"/>
    <m/>
    <s v="Calculated"/>
    <x v="0"/>
    <x v="0"/>
    <m/>
    <m/>
    <n v="0"/>
    <x v="0"/>
    <m/>
    <m/>
    <s v="Select…"/>
    <s v="Select…"/>
    <m/>
    <s v="Select…"/>
    <m/>
    <s v="Calculated"/>
    <s v="Calculated"/>
    <m/>
  </r>
  <r>
    <n v="14"/>
    <m/>
    <m/>
    <m/>
    <m/>
    <x v="0"/>
    <x v="0"/>
    <m/>
    <s v="Select…"/>
    <m/>
    <s v="Select…"/>
    <m/>
    <s v="Calculated"/>
    <x v="0"/>
    <x v="0"/>
    <m/>
    <m/>
    <n v="0"/>
    <x v="0"/>
    <m/>
    <m/>
    <s v="Select…"/>
    <s v="Select…"/>
    <m/>
    <s v="Select…"/>
    <m/>
    <s v="Calculated"/>
    <s v="Calculated"/>
    <m/>
  </r>
  <r>
    <n v="15"/>
    <m/>
    <m/>
    <m/>
    <m/>
    <x v="0"/>
    <x v="0"/>
    <m/>
    <s v="Select…"/>
    <m/>
    <s v="Select…"/>
    <m/>
    <s v="Calculated"/>
    <x v="0"/>
    <x v="0"/>
    <m/>
    <m/>
    <n v="0"/>
    <x v="0"/>
    <m/>
    <m/>
    <s v="Select…"/>
    <s v="Select…"/>
    <m/>
    <s v="Select…"/>
    <m/>
    <s v="Calculated"/>
    <s v="Calculated"/>
    <m/>
  </r>
  <r>
    <n v="16"/>
    <m/>
    <m/>
    <m/>
    <m/>
    <x v="0"/>
    <x v="0"/>
    <m/>
    <s v="Select…"/>
    <m/>
    <s v="Select…"/>
    <m/>
    <s v="Calculated"/>
    <x v="0"/>
    <x v="0"/>
    <m/>
    <m/>
    <n v="0"/>
    <x v="0"/>
    <m/>
    <m/>
    <s v="Select…"/>
    <s v="Select…"/>
    <m/>
    <s v="Select…"/>
    <m/>
    <s v="Calculated"/>
    <s v="Calculated"/>
    <m/>
  </r>
  <r>
    <n v="17"/>
    <m/>
    <m/>
    <m/>
    <m/>
    <x v="0"/>
    <x v="0"/>
    <m/>
    <s v="Select…"/>
    <m/>
    <s v="Select…"/>
    <m/>
    <s v="Calculated"/>
    <x v="0"/>
    <x v="0"/>
    <m/>
    <m/>
    <n v="0"/>
    <x v="0"/>
    <m/>
    <m/>
    <s v="Select…"/>
    <s v="Select…"/>
    <m/>
    <s v="Select…"/>
    <m/>
    <s v="Calculated"/>
    <s v="Calculated"/>
    <m/>
  </r>
  <r>
    <n v="18"/>
    <m/>
    <m/>
    <m/>
    <m/>
    <x v="0"/>
    <x v="0"/>
    <m/>
    <s v="Select…"/>
    <m/>
    <s v="Select…"/>
    <m/>
    <s v="Calculated"/>
    <x v="0"/>
    <x v="0"/>
    <m/>
    <m/>
    <n v="0"/>
    <x v="0"/>
    <m/>
    <m/>
    <s v="Select…"/>
    <s v="Select…"/>
    <m/>
    <s v="Select…"/>
    <m/>
    <s v="Calculated"/>
    <s v="Calculated"/>
    <m/>
  </r>
  <r>
    <n v="19"/>
    <m/>
    <m/>
    <m/>
    <m/>
    <x v="0"/>
    <x v="0"/>
    <m/>
    <s v="Select…"/>
    <m/>
    <s v="Select…"/>
    <m/>
    <s v="Calculated"/>
    <x v="0"/>
    <x v="0"/>
    <m/>
    <m/>
    <n v="0"/>
    <x v="0"/>
    <m/>
    <m/>
    <s v="Select…"/>
    <s v="Select…"/>
    <m/>
    <s v="Select…"/>
    <m/>
    <s v="Calculated"/>
    <s v="Calculated"/>
    <m/>
  </r>
  <r>
    <n v="20"/>
    <m/>
    <m/>
    <m/>
    <m/>
    <x v="0"/>
    <x v="0"/>
    <m/>
    <s v="Select…"/>
    <m/>
    <s v="Select…"/>
    <m/>
    <s v="Calculated"/>
    <x v="0"/>
    <x v="0"/>
    <m/>
    <m/>
    <n v="0"/>
    <x v="0"/>
    <m/>
    <m/>
    <s v="Select…"/>
    <s v="Select…"/>
    <m/>
    <s v="Select…"/>
    <m/>
    <s v="Calculated"/>
    <s v="Calculated"/>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n v="0"/>
  </r>
  <r>
    <x v="1"/>
    <n v="0"/>
    <n v="0"/>
  </r>
  <r>
    <x v="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54CD0-A79C-4153-9D7E-A34A421295CD}" name="PreTreatmentRisks" cacheId="1"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6">
    <format dxfId="124">
      <pivotArea field="0" type="button" dataOnly="0" labelOnly="1" outline="0" axis="axisRow" fieldPosition="0"/>
    </format>
    <format dxfId="123">
      <pivotArea dataOnly="0" labelOnly="1" outline="0" axis="axisValues" fieldPosition="0"/>
    </format>
    <format dxfId="122">
      <pivotArea field="0" type="button" dataOnly="0" labelOnly="1" outline="0" axis="axisRow" fieldPosition="0"/>
    </format>
    <format dxfId="121">
      <pivotArea dataOnly="0" labelOnly="1" outline="0" axis="axisValues" fieldPosition="0"/>
    </format>
    <format dxfId="120">
      <pivotArea field="0" type="button" dataOnly="0" labelOnly="1" outline="0" axis="axisRow" fieldPosition="0"/>
    </format>
    <format dxfId="119">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CE55E-8D9E-4032-8BD7-F4C9EAE853C6}" name="PreTreatmentRisksByOwner" cacheId="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7" firstHeaderRow="1" firstDataRow="1" firstDataCol="2"/>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3"/>
    <field x="6"/>
  </rowFields>
  <rowItems count="1">
    <i>
      <x/>
      <x/>
    </i>
  </rowItems>
  <colItems count="1">
    <i/>
  </colItems>
  <dataFields count="1">
    <dataField name="Risk Level " fld="13" subtotal="count" baseField="0" baseItem="0"/>
  </dataFields>
  <formats count="6">
    <format dxfId="116">
      <pivotArea field="13" type="button" dataOnly="0" labelOnly="1" outline="0" axis="axisRow" fieldPosition="0"/>
    </format>
    <format dxfId="115">
      <pivotArea field="6" type="button" dataOnly="0" labelOnly="1" outline="0" axis="axisRow" fieldPosition="1"/>
    </format>
    <format dxfId="114">
      <pivotArea dataOnly="0" labelOnly="1" outline="0" axis="axisValues" fieldPosition="0"/>
    </format>
    <format dxfId="113">
      <pivotArea field="13" type="button" dataOnly="0" labelOnly="1" outline="0" axis="axisRow" fieldPosition="0"/>
    </format>
    <format dxfId="112">
      <pivotArea field="6" type="button" dataOnly="0" labelOnly="1" outline="0" axis="axisRow" fieldPosition="1"/>
    </format>
    <format dxfId="111">
      <pivotArea dataOnly="0" labelOnly="1" outline="0" axis="axisValues" fieldPosition="0"/>
    </format>
  </formats>
  <chartFormats count="2">
    <chartFormat chart="6" format="50" series="1">
      <pivotArea type="data" outline="0" fieldPosition="0">
        <references count="1">
          <reference field="4294967294" count="1" selected="0">
            <x v="0"/>
          </reference>
        </references>
      </pivotArea>
    </chartFormat>
    <chartFormat chart="6" format="5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AE504-A48F-4AA2-88A6-8592D154440B}" name="PostTreatmentRisk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110">
      <pivotArea field="0" type="button" dataOnly="0" labelOnly="1" outline="0" axis="axisRow" fieldPosition="0"/>
    </format>
    <format dxfId="109">
      <pivotArea dataOnly="0" labelOnly="1" outline="0" axis="axisValues" fieldPosition="0"/>
    </format>
    <format dxfId="108">
      <pivotArea field="0" type="button" dataOnly="0" labelOnly="1" outline="0" axis="axisRow" fieldPosition="0"/>
    </format>
    <format dxfId="107">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8E5981-7780-4152-B8A0-5BA3F8B9B204}" name="RisksByRiskLevelPre&amp;PostTreatment"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12:D15" firstHeaderRow="0" firstDataRow="1" firstDataCol="1"/>
  <pivotFields count="3">
    <pivotField axis="axisRow" compact="0" outline="0" showAll="0" defaultSubtotal="0">
      <items count="3">
        <item x="0"/>
        <item x="1"/>
        <item x="2"/>
      </items>
    </pivotField>
    <pivotField dataField="1" compact="0" outline="0" showAll="0" defaultSubtotal="0"/>
    <pivotField dataField="1" compact="0" outline="0" showAll="0" defaultSubtota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4">
    <format dxfId="104">
      <pivotArea field="0" type="button" dataOnly="0" labelOnly="1" outline="0" axis="axisRow" fieldPosition="0"/>
    </format>
    <format dxfId="103">
      <pivotArea dataOnly="0" labelOnly="1" outline="0" fieldPosition="0">
        <references count="1">
          <reference field="4294967294" count="2">
            <x v="0"/>
            <x v="1"/>
          </reference>
        </references>
      </pivotArea>
    </format>
    <format dxfId="102">
      <pivotArea field="0" type="button" dataOnly="0" labelOnly="1" outline="0" axis="axisRow" fieldPosition="0"/>
    </format>
    <format dxfId="101">
      <pivotArea dataOnly="0" labelOnly="1" outline="0" fieldPosition="0">
        <references count="1">
          <reference field="4294967294" count="2">
            <x v="0"/>
            <x v="1"/>
          </reference>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067F7-6D27-48FC-8D4C-69E4742A016E}" name="RisksByTreatmentOption"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7" firstHeaderRow="1" firstDataRow="1" firstDataCol="1"/>
  <pivotFields count="29">
    <pivotField compact="0" outline="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1">
    <i>
      <x/>
    </i>
  </rowItems>
  <colItems count="1">
    <i/>
  </colItems>
  <dataFields count="1">
    <dataField name="Count of Asset Group" fld="1" subtotal="count" baseField="0" baseItem="0"/>
  </dataFields>
  <formats count="4">
    <format dxfId="97">
      <pivotArea field="14" type="button" dataOnly="0" labelOnly="1" outline="0" axis="axisRow" fieldPosition="0"/>
    </format>
    <format dxfId="96">
      <pivotArea dataOnly="0" labelOnly="1" outline="0" axis="axisValues" fieldPosition="0"/>
    </format>
    <format dxfId="95">
      <pivotArea field="14" type="button" dataOnly="0" labelOnly="1" outline="0" axis="axisRow" fieldPosition="0"/>
    </format>
    <format dxfId="94">
      <pivotArea dataOnly="0" labelOnly="1" outline="0" axis="axisValues" fieldPosition="0"/>
    </format>
  </formats>
  <chartFormats count="2">
    <chartFormat chart="2" format="18" series="1">
      <pivotArea type="data" outline="0" fieldPosition="0">
        <references count="1">
          <reference field="4294967294" count="1" selected="0">
            <x v="0"/>
          </reference>
        </references>
      </pivotArea>
    </chartFormat>
    <chartFormat chart="2" format="2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2D984-D089-4D43-84DD-2CCEF17FD514}" name="TreatmentCosts"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7" firstHeaderRow="1" firstDataRow="1"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1">
    <i>
      <x/>
    </i>
  </rowItems>
  <colItems count="1">
    <i/>
  </colItems>
  <dataFields count="1">
    <dataField name="Sum of Treatment Cost" fld="17" baseField="11" baseItem="0" numFmtId="3"/>
  </dataFields>
  <formats count="5">
    <format dxfId="93">
      <pivotArea field="13" type="button" dataOnly="0" labelOnly="1" outline="0" axis="axisRow" fieldPosition="0"/>
    </format>
    <format dxfId="92">
      <pivotArea dataOnly="0" labelOnly="1" outline="0" axis="axisValues" fieldPosition="0"/>
    </format>
    <format dxfId="91">
      <pivotArea field="13" type="button" dataOnly="0" labelOnly="1" outline="0" axis="axisRow" fieldPosition="0"/>
    </format>
    <format dxfId="90">
      <pivotArea dataOnly="0" labelOnly="1" outline="0" axis="axisValues" fieldPosition="0"/>
    </format>
    <format dxfId="89">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3C23E-6635-489C-BA68-88DD7950879F}" name="TreatmentActionOwner"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8" firstHeaderRow="1" firstDataRow="2"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8"/>
  </rowFields>
  <rowItems count="1">
    <i>
      <x/>
    </i>
  </rowItems>
  <colFields count="1">
    <field x="13"/>
  </colFields>
  <colItems count="1">
    <i>
      <x/>
    </i>
  </colItems>
  <dataFields count="1">
    <dataField name="Count of Treatment Action Owner" fld="18" subtotal="count" baseField="0" baseItem="0"/>
  </dataFields>
  <formats count="10">
    <format dxfId="88">
      <pivotArea type="origin" dataOnly="0" labelOnly="1" outline="0" fieldPosition="0"/>
    </format>
    <format dxfId="87">
      <pivotArea field="13" type="button" dataOnly="0" labelOnly="1" outline="0" axis="axisCol" fieldPosition="0"/>
    </format>
    <format dxfId="86">
      <pivotArea type="topRight" dataOnly="0" labelOnly="1" outline="0" fieldPosition="0"/>
    </format>
    <format dxfId="85">
      <pivotArea field="18" type="button" dataOnly="0" labelOnly="1" outline="0" axis="axisRow" fieldPosition="0"/>
    </format>
    <format dxfId="84">
      <pivotArea dataOnly="0" labelOnly="1" outline="0" fieldPosition="0">
        <references count="1">
          <reference field="13" count="0"/>
        </references>
      </pivotArea>
    </format>
    <format dxfId="83">
      <pivotArea type="origin" dataOnly="0" labelOnly="1" outline="0" fieldPosition="0"/>
    </format>
    <format dxfId="82">
      <pivotArea field="13" type="button" dataOnly="0" labelOnly="1" outline="0" axis="axisCol" fieldPosition="0"/>
    </format>
    <format dxfId="81">
      <pivotArea type="topRight" dataOnly="0" labelOnly="1" outline="0" fieldPosition="0"/>
    </format>
    <format dxfId="80">
      <pivotArea field="18" type="button" dataOnly="0" labelOnly="1" outline="0" axis="axisRow" fieldPosition="0"/>
    </format>
    <format dxfId="79">
      <pivotArea dataOnly="0" labelOnly="1" outline="0" fieldPosition="0">
        <references count="1">
          <reference field="13" count="0"/>
        </references>
      </pivotArea>
    </format>
  </formats>
  <chartFormats count="1">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74CC4C-9E8D-42E1-8983-8A9426B1F6C6}" name="PivotTable1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15:S1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Sum of Treatment Cost" fld="17" baseField="11" baseItem="0"/>
  </dataFields>
  <formats count="11">
    <format dxfId="12">
      <pivotArea field="13" type="button" dataOnly="0" labelOnly="1" outline="0" axis="axisRow" fieldPosition="0"/>
    </format>
    <format dxfId="11">
      <pivotArea dataOnly="0" labelOnly="1" outline="0" axis="axisValues" fieldPosition="0"/>
    </format>
    <format dxfId="10">
      <pivotArea field="13" type="button" dataOnly="0" labelOnly="1" outline="0" axis="axisRow" fieldPosition="0"/>
    </format>
    <format dxfId="9">
      <pivotArea dataOnly="0" labelOnly="1" outline="0" axis="axisValues" fieldPosition="0"/>
    </format>
    <format dxfId="8">
      <pivotArea dataOnly="0" grandRow="1" fieldPosition="0"/>
    </format>
    <format dxfId="7">
      <pivotArea dataOnly="0" grandRow="1" fieldPosition="0"/>
    </format>
    <format dxfId="6">
      <pivotArea grandRow="1" outline="0" collapsedLevelsAreSubtotals="1" fieldPosition="0"/>
    </format>
    <format dxfId="5">
      <pivotArea dataOnly="0" labelOnly="1" grandRow="1" outline="0" fieldPosition="0"/>
    </format>
    <format dxfId="4">
      <pivotArea field="13" type="button" dataOnly="0" labelOnly="1" outline="0" axis="axisRow" fieldPosition="0"/>
    </format>
    <format dxfId="3">
      <pivotArea dataOnly="0" labelOnly="1" outline="0" axis="axisValues" fieldPosition="0"/>
    </format>
    <format dxfId="2">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60EF14-5AF2-430F-82E8-406C72E477E0}" name="PivotTable1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O8:O1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2">
    <i>
      <x/>
    </i>
    <i t="grand">
      <x/>
    </i>
  </rowItems>
  <colItems count="1">
    <i/>
  </colItems>
  <formats count="11">
    <format dxfId="23">
      <pivotArea dataOnly="0" labelOnly="1" outline="0" axis="axisValues" fieldPosition="0"/>
    </format>
    <format dxfId="22">
      <pivotArea field="14" type="button" dataOnly="0" labelOnly="1" outline="0" axis="axisRow" fieldPosition="0"/>
    </format>
    <format dxfId="21">
      <pivotArea dataOnly="0" labelOnly="1" outline="0" axis="axisValues" fieldPosition="0"/>
    </format>
    <format dxfId="20">
      <pivotArea field="14" type="button" dataOnly="0" labelOnly="1" outline="0" axis="axisRow" fieldPosition="0"/>
    </format>
    <format dxfId="19">
      <pivotArea dataOnly="0" labelOnly="1" outline="0" axis="axisValues" fieldPosition="0"/>
    </format>
    <format dxfId="18">
      <pivotArea grandRow="1" outline="0" collapsedLevelsAreSubtotals="1" fieldPosition="0"/>
    </format>
    <format dxfId="17">
      <pivotArea dataOnly="0" labelOnly="1" grandRow="1" outline="0" fieldPosition="0"/>
    </format>
    <format dxfId="16">
      <pivotArea grandRow="1" outline="0" collapsedLevelsAreSubtotals="1" fieldPosition="0"/>
    </format>
    <format dxfId="15">
      <pivotArea dataOnly="0" labelOnly="1" grandRow="1" outline="0" fieldPosition="0"/>
    </format>
    <format dxfId="14">
      <pivotArea field="14" type="button" dataOnly="0" labelOnly="1" outline="0" axis="axisRow" fieldPosition="0"/>
    </format>
    <format dxfId="1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7BCC62-60D1-4133-86FC-C9F99ED56F94}" name="PivotTable1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K11" firstHeaderRow="1" firstDataRow="2" firstDataCol="1"/>
  <pivotFields count="29">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Fields count="1">
    <field x="13"/>
  </colFields>
  <colItems count="2">
    <i>
      <x/>
    </i>
    <i t="grand">
      <x/>
    </i>
  </colItems>
  <dataFields count="1">
    <dataField name="Count of Risk Level" fld="13" subtotal="count" baseField="0" baseItem="0"/>
  </dataFields>
  <formats count="24">
    <format dxfId="47">
      <pivotArea type="origin" dataOnly="0" labelOnly="1" outline="0" fieldPosition="0"/>
    </format>
    <format dxfId="46">
      <pivotArea field="13" type="button" dataOnly="0" labelOnly="1" outline="0" axis="axisCol" fieldPosition="0"/>
    </format>
    <format dxfId="45">
      <pivotArea type="topRight" dataOnly="0" labelOnly="1" outline="0" fieldPosition="0"/>
    </format>
    <format dxfId="44">
      <pivotArea field="6" type="button" dataOnly="0" labelOnly="1" outline="0" axis="axisRow" fieldPosition="0"/>
    </format>
    <format dxfId="43">
      <pivotArea dataOnly="0" labelOnly="1" fieldPosition="0">
        <references count="1">
          <reference field="13" count="0"/>
        </references>
      </pivotArea>
    </format>
    <format dxfId="42">
      <pivotArea dataOnly="0" labelOnly="1" grandCol="1" outline="0" fieldPosition="0"/>
    </format>
    <format dxfId="41">
      <pivotArea grandRow="1" outline="0" collapsedLevelsAreSubtotals="1" fieldPosition="0"/>
    </format>
    <format dxfId="40">
      <pivotArea dataOnly="0" labelOnly="1" grandRow="1" outline="0" fieldPosition="0"/>
    </format>
    <format dxfId="39">
      <pivotArea type="origin" dataOnly="0" labelOnly="1" outline="0" fieldPosition="0"/>
    </format>
    <format dxfId="38">
      <pivotArea field="13" type="button" dataOnly="0" labelOnly="1" outline="0" axis="axisCol" fieldPosition="0"/>
    </format>
    <format dxfId="37">
      <pivotArea type="topRight" dataOnly="0" labelOnly="1" outline="0" fieldPosition="0"/>
    </format>
    <format dxfId="36">
      <pivotArea field="6" type="button" dataOnly="0" labelOnly="1" outline="0" axis="axisRow" fieldPosition="0"/>
    </format>
    <format dxfId="35">
      <pivotArea dataOnly="0" labelOnly="1" fieldPosition="0">
        <references count="1">
          <reference field="13" count="0"/>
        </references>
      </pivotArea>
    </format>
    <format dxfId="34">
      <pivotArea dataOnly="0" labelOnly="1" grandCol="1" outline="0" fieldPosition="0"/>
    </format>
    <format dxfId="33">
      <pivotArea grandRow="1" outline="0" collapsedLevelsAreSubtotals="1" fieldPosition="0"/>
    </format>
    <format dxfId="32">
      <pivotArea dataOnly="0" labelOnly="1" grandRow="1" outline="0" fieldPosition="0"/>
    </format>
    <format dxfId="31">
      <pivotArea type="origin" dataOnly="0" labelOnly="1" outline="0" fieldPosition="0"/>
    </format>
    <format dxfId="30">
      <pivotArea field="13" type="button" dataOnly="0" labelOnly="1" outline="0" axis="axisCol" fieldPosition="0"/>
    </format>
    <format dxfId="29">
      <pivotArea type="topRight" dataOnly="0" labelOnly="1" outline="0" fieldPosition="0"/>
    </format>
    <format dxfId="28">
      <pivotArea field="6" type="button" dataOnly="0" labelOnly="1" outline="0" axis="axisRow" fieldPosition="0"/>
    </format>
    <format dxfId="27">
      <pivotArea dataOnly="0" labelOnly="1" fieldPosition="0">
        <references count="1">
          <reference field="13" count="0"/>
        </references>
      </pivotArea>
    </format>
    <format dxfId="26">
      <pivotArea dataOnly="0" labelOnly="1" grandCol="1" outline="0" fieldPosition="0"/>
    </format>
    <format dxfId="25">
      <pivotArea grandRow="1" outline="0" collapsedLevelsAreSubtotals="1" fieldPosition="0"/>
    </format>
    <format dxfId="2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93C2A2-B932-4927-9362-69868D20801B}"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D11" firstHeaderRow="1" firstDataRow="2" firstDataCol="1"/>
  <pivotFields count="29">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Fields count="1">
    <field x="13"/>
  </colFields>
  <colItems count="2">
    <i>
      <x/>
    </i>
    <i t="grand">
      <x/>
    </i>
  </colItems>
  <dataFields count="1">
    <dataField name="Count of Risk Level" fld="13" subtotal="count" baseField="0" baseItem="0"/>
  </dataFields>
  <formats count="23">
    <format dxfId="70">
      <pivotArea type="origin" dataOnly="0" labelOnly="1" outline="0" fieldPosition="0"/>
    </format>
    <format dxfId="69">
      <pivotArea field="13" type="button" dataOnly="0" labelOnly="1" outline="0" axis="axisCol" fieldPosition="0"/>
    </format>
    <format dxfId="68">
      <pivotArea type="topRight" dataOnly="0" labelOnly="1" outline="0" fieldPosition="0"/>
    </format>
    <format dxfId="67">
      <pivotArea field="5" type="button" dataOnly="0" labelOnly="1" outline="0" axis="axisRow" fieldPosition="0"/>
    </format>
    <format dxfId="66">
      <pivotArea dataOnly="0" labelOnly="1" fieldPosition="0">
        <references count="1">
          <reference field="13" count="0"/>
        </references>
      </pivotArea>
    </format>
    <format dxfId="65">
      <pivotArea dataOnly="0" labelOnly="1" grandCol="1" outline="0" fieldPosition="0"/>
    </format>
    <format dxfId="64">
      <pivotArea type="origin" dataOnly="0" labelOnly="1" outline="0" fieldPosition="0"/>
    </format>
    <format dxfId="63">
      <pivotArea field="13" type="button" dataOnly="0" labelOnly="1" outline="0" axis="axisCol" fieldPosition="0"/>
    </format>
    <format dxfId="62">
      <pivotArea type="topRight" dataOnly="0" labelOnly="1" outline="0" fieldPosition="0"/>
    </format>
    <format dxfId="61">
      <pivotArea field="5" type="button" dataOnly="0" labelOnly="1" outline="0" axis="axisRow" fieldPosition="0"/>
    </format>
    <format dxfId="60">
      <pivotArea dataOnly="0" labelOnly="1" fieldPosition="0">
        <references count="1">
          <reference field="13" count="0"/>
        </references>
      </pivotArea>
    </format>
    <format dxfId="59">
      <pivotArea dataOnly="0" labelOnly="1" grandCol="1" outline="0" fieldPosition="0"/>
    </format>
    <format dxfId="58">
      <pivotArea outline="0" collapsedLevelsAreSubtotals="1" fieldPosition="0"/>
    </format>
    <format dxfId="57">
      <pivotArea dataOnly="0" grandRow="1" fieldPosition="0"/>
    </format>
    <format dxfId="56">
      <pivotArea dataOnly="0" grandRow="1" fieldPosition="0"/>
    </format>
    <format dxfId="55">
      <pivotArea type="origin" dataOnly="0" labelOnly="1" outline="0" fieldPosition="0"/>
    </format>
    <format dxfId="54">
      <pivotArea field="13" type="button" dataOnly="0" labelOnly="1" outline="0" axis="axisCol" fieldPosition="0"/>
    </format>
    <format dxfId="53">
      <pivotArea type="topRight" dataOnly="0" labelOnly="1" outline="0" fieldPosition="0"/>
    </format>
    <format dxfId="52">
      <pivotArea field="5" type="button" dataOnly="0" labelOnly="1" outline="0" axis="axisRow" fieldPosition="0"/>
    </format>
    <format dxfId="51">
      <pivotArea dataOnly="0" labelOnly="1" fieldPosition="0">
        <references count="1">
          <reference field="13" count="0"/>
        </references>
      </pivotArea>
    </format>
    <format dxfId="50">
      <pivotArea dataOnly="0" labelOnly="1" grandCol="1" outline="0" fieldPosition="0"/>
    </format>
    <format dxfId="49">
      <pivotArea grandRow="1" outline="0" collapsedLevelsAreSubtotals="1" fieldPosition="0"/>
    </format>
    <format dxfId="4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1E430D03-4FE4-41F1-84BE-FD21D4C3F14F}" sourceName="Risk Owner">
  <extLst>
    <x:ext xmlns:x15="http://schemas.microsoft.com/office/spreadsheetml/2010/11/main" uri="{2F2917AC-EB37-4324-AD4E-5DD8C200BD13}">
      <x15:tableSlicerCache tableId="7"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ACDB34EB-DA71-41CC-815D-FFB347B7F691}" sourceName="Risk Level">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7F65085F-9CB2-4053-A0B2-093521C1011F}" sourceName="Treatment Option Chosen">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7AC51F6C-2D3B-4EE3-A271-BEC3C7862A31}" sourceName="Treatment Action Owner">
  <extLst>
    <x:ext xmlns:x15="http://schemas.microsoft.com/office/spreadsheetml/2010/11/main" uri="{2F2917AC-EB37-4324-AD4E-5DD8C200BD13}">
      <x15:tableSlicerCache tableId="7"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Status" xr10:uid="{E0AD7BE7-C061-4B70-8D4B-954A3D137A1E}" sourceName="Treatment Action Status">
  <extLst>
    <x:ext xmlns:x15="http://schemas.microsoft.com/office/spreadsheetml/2010/11/main" uri="{2F2917AC-EB37-4324-AD4E-5DD8C200BD13}">
      <x15:tableSlicerCache tableId="7"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57A278B4-62CC-4D0E-8B69-848B1549730D}" sourceName="Post-Treatment Risk Level">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xr10:uid="{450BFEC9-50CC-4E66-A516-7B198AD50D35}" cache="Slicer_Risk_Owner" caption="Risk Owner" style="CertiKit Slicer 2" rowHeight="241300"/>
  <slicer name="Risk level" xr10:uid="{E70FB1F9-5DCB-4E00-B3B9-BC105490AFFC}" cache="Slicer_Risk_level" caption="Risk Level" style="CertiKit Slicer 2" rowHeight="241300"/>
  <slicer name="Treatment option chosen 2" xr10:uid="{D089F5CA-DA1B-477E-A6DE-C0274D5E7FDF}" cache="Slicer_Treatment_option_chosen" caption="Treatment Option Chosen" style="CertiKit Slicer 2" rowHeight="241300"/>
  <slicer name="Treatment Action Owner 1" xr10:uid="{D2DCCA03-CB0D-48E4-814F-44AEF6BDDF22}" cache="Slicer_Treatment_Action_Owner" caption="Treatment Action Owner" style="CertiKit Slicer 2" rowHeight="241300"/>
  <slicer name="Treatment Action Status 1" xr10:uid="{3CE09EDA-8080-4AA7-BFBD-53772DAA8DB8}" cache="Slicer_Treatment_Action_Status" caption="Treatment Action Status" style="CertiKit Slicer 2" rowHeight="241300"/>
  <slicer name="Post-Treatment Risk Level" xr10:uid="{5A1B27FD-AF30-402A-A993-743243C18186}" cache="Slicer_Post_Treatment_Risk_Level" caption="Post-Treatment Risk Level"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3:AD33" totalsRowShown="0" headerRowDxfId="155" dataDxfId="154">
  <autoFilter ref="B13:AD33"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780B8FA-8743-4524-865B-12BD63D2056E}" name="Ref" dataDxfId="153"/>
    <tableColumn id="2" xr3:uid="{3278FB7C-91F3-417D-B3D1-6874CF833910}" name="Asset Group" dataDxfId="152"/>
    <tableColumn id="14" xr3:uid="{A53DA3AA-36F7-400B-A24B-61AFD64480AC}" name="Asset" dataDxfId="151"/>
    <tableColumn id="18" xr3:uid="{1511B5E3-B2A9-4480-B286-EADDA60D8391}" name="Threat" dataDxfId="150"/>
    <tableColumn id="19" xr3:uid="{B7C45012-4C1A-4DA9-8F5B-7B0DFE5D4ADF}" name="Vulnerability" dataDxfId="149"/>
    <tableColumn id="5" xr3:uid="{7E2C2527-E2E7-4FED-AC15-82969BEEA9D8}" name="Risk Type" dataDxfId="148"/>
    <tableColumn id="6" xr3:uid="{5BD50508-B827-4940-BEA7-24745396DADF}" name="Risk Owner" dataDxfId="147"/>
    <tableColumn id="7" xr3:uid="{88F4F6C4-C558-4511-BD94-F92314B01A77}" name="Existing Controls" dataDxfId="146"/>
    <tableColumn id="8" xr3:uid="{0AA282DC-3088-4338-80C5-2EF25A907C36}" name="Likelihood" dataDxfId="145"/>
    <tableColumn id="9" xr3:uid="{84AE39E5-D4CF-48F2-AE20-B65A24BC706B}" name="Likelihood Rationale" dataDxfId="144"/>
    <tableColumn id="10" xr3:uid="{CA483CC8-0A9F-49F4-8467-9C42A0694C13}" name="Impact" dataDxfId="143"/>
    <tableColumn id="11" xr3:uid="{CFD1BC19-E865-4532-B678-79A520B128C6}" name="Impact Rationale" dataDxfId="142"/>
    <tableColumn id="12" xr3:uid="{B7F199D4-99F3-4A9C-9D92-102D2EF262D7}" name="Risk Score" dataDxfId="141">
      <calculatedColumnFormula>IFERROR([1]!RiskAssessment[[#This Row],[Likelihood]]*[1]!RiskAssessment[[#This Row],[Impact]],"Calculated")</calculatedColumnFormula>
    </tableColumn>
    <tableColumn id="26" xr3:uid="{92D3F116-E810-44D0-9D9E-7FBEB1DEB8D8}" name="Risk Level" dataDxfId="140">
      <calculatedColumnFormula>IF(N14="Calculated", "Calculated", IF(N14&gt;11, " HIGH",IF(N14&gt;4," MEDIUM"," LOW")))</calculatedColumnFormula>
    </tableColumn>
    <tableColumn id="25" xr3:uid="{4A288FE7-5236-47D2-A80C-C3EFE89D249B}" name="Treatment Option Chosen" dataDxfId="139"/>
    <tableColumn id="24" xr3:uid="{E68F9F93-9B81-4C6A-A901-3CB89BBDB0C3}" name="Proposed Treatment Action" dataDxfId="138"/>
    <tableColumn id="13" xr3:uid="{797EBABE-8B9B-4A04-AED5-FD6E9F5FA88F}" name="Annex A/Control Reference" dataDxfId="137"/>
    <tableColumn id="3" xr3:uid="{9899C2E4-A8EF-4E7C-91BC-56AEC3605BDB}" name="Treatment Cost" dataDxfId="136"/>
    <tableColumn id="4" xr3:uid="{63FCA63E-37BE-41EE-855A-DDCB2528FE79}" name="Treatment Action Owner" dataDxfId="135"/>
    <tableColumn id="15" xr3:uid="{FE9D1397-7F83-4072-BC01-DC4A10C3AC1B}" name="Treatment Action Timescale" dataDxfId="134"/>
    <tableColumn id="17" xr3:uid="{B7628829-460A-4E1B-A225-CC60743DDDC9}" name="Treatment Action Progress" dataDxfId="133"/>
    <tableColumn id="16" xr3:uid="{D8785450-9FE7-4D1F-B472-FBA3922839CE}" name="Treatment Action Status" dataDxfId="132"/>
    <tableColumn id="23" xr3:uid="{0C955E08-3829-43CE-AD97-7CAC6D3BE74A}" name="Post-Treatment Likelihood" dataDxfId="131"/>
    <tableColumn id="22" xr3:uid="{FC0F7D48-D51C-4F43-B569-3F3866789458}" name="Post-Treatment Likelihood Rationale" dataDxfId="130"/>
    <tableColumn id="20" xr3:uid="{8099D3FF-BFC9-4F1E-8F43-237A9CAEC5F4}" name="Post- Treatment Impact" dataDxfId="129"/>
    <tableColumn id="34" xr3:uid="{A042F55B-EB28-4B01-BDE5-0C5066129EAD}" name="Post-Treatment Impact Rationale" dataDxfId="128"/>
    <tableColumn id="33" xr3:uid="{77FF60DC-16CE-4E05-B011-A7DAE2503C53}" name="Post-Treatment Risk Score" dataDxfId="127">
      <calculatedColumnFormula>IFERROR([1]!RiskAssessment[[#This Row],[Post-Treatment Likelihood]]*[1]!RiskAssessment[[#This Row],[Post- Treatment Impact]],"Calculated")</calculatedColumnFormula>
    </tableColumn>
    <tableColumn id="32" xr3:uid="{02FDD454-ECC7-411C-896E-F510AA417304}" name="Post-Treatment Risk Level" dataDxfId="126">
      <calculatedColumnFormula>IF(AB14="Calculated", "Calculated", IF(AB14&gt;11, " HIGH",IF(AB14&gt;4," MEDIUM"," LOW")))</calculatedColumnFormula>
    </tableColumn>
    <tableColumn id="31" xr3:uid="{6F81B6AE-B322-464A-9CA3-F6649B4E74FA}" name="Comments" dataDxfId="125"/>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3098D6-4E26-42EF-B867-11B7A180FF01}" name="PreTreatmentRisksByRiskLevel" displayName="PreTreatmentRisksByRiskLevel" ref="B6:C9" totalsRowShown="0" headerRowDxfId="118">
  <autoFilter ref="B6:C9" xr:uid="{6DD72213-C7C7-4475-81A9-957D67691275}"/>
  <tableColumns count="2">
    <tableColumn id="1" xr3:uid="{FB643B66-CD9F-4AE4-BE24-8E9BB8A598B3}" name="Risk level"/>
    <tableColumn id="2" xr3:uid="{431A049C-CEE8-4AED-A122-0554E1196028}" name="Pre-treatment" dataDxfId="11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2B2A87-CAB5-4B08-95F2-F52E908347A4}" name="RisksByRiskLevelPreandPostTreatment10" displayName="RisksByRiskLevelPreandPostTreatment10" ref="B6:C9" totalsRowShown="0" headerRowDxfId="106">
  <autoFilter ref="B6:C9" xr:uid="{58B6FB75-1772-4E97-8BB0-09A2610DA359}"/>
  <tableColumns count="2">
    <tableColumn id="1" xr3:uid="{060FE462-9CBB-476C-A515-C7814AC430E9}" name="Risk level"/>
    <tableColumn id="3" xr3:uid="{8B930A52-980E-4015-A09E-7AE896EC2DA9}" name="Post-treatment" dataDxfId="105"/>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4AEFD6-F146-444E-8857-991236F1E58D}" name="PreMitigationRisksByRiskLevel10" displayName="PreMitigationRisksByRiskLevel10" ref="B6:D9" totalsRowShown="0" headerRowDxfId="100">
  <autoFilter ref="B6:D9" xr:uid="{1C2041F9-A7AF-4536-A9F3-B5F1DC471D08}"/>
  <tableColumns count="3">
    <tableColumn id="1" xr3:uid="{4BCDBDEA-07E5-417B-8555-2DB6730C7156}" name="Risk level"/>
    <tableColumn id="2" xr3:uid="{B9F5D0BE-47D8-41B6-9E6A-B89B087E76CE}" name="Pre-treatment" dataDxfId="99"/>
    <tableColumn id="3" xr3:uid="{729B54DD-5446-4A03-AA73-E8050E6B0473}" name="Post-treatment" dataDxfId="9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2" totalsRowShown="0" headerRowDxfId="78" dataDxfId="77">
  <autoFilter ref="B6:B12" xr:uid="{53E7F917-CE3C-45CA-BA10-709121A44293}">
    <filterColumn colId="0" hiddenButton="1"/>
  </autoFilter>
  <tableColumns count="1">
    <tableColumn id="1" xr3:uid="{5364270F-A323-40A1-A90B-30119CD587D5}" name="ONE TO FIVE" dataDxfId="76"/>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E6:E11" totalsRowShown="0" headerRowDxfId="75">
  <autoFilter ref="E6:E11" xr:uid="{45576131-8111-4F4B-847C-3395F8FC4342}">
    <filterColumn colId="0" hiddenButton="1"/>
  </autoFilter>
  <tableColumns count="1">
    <tableColumn id="1" xr3:uid="{40850E87-988C-4D35-BD9B-533BCAD5ED19}" name="OPTIONS"/>
  </tableColumns>
  <tableStyleInfo name="CertiKit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5E1B08-FAE0-4FCE-8763-AA005675F917}" name="Table5" displayName="Table5" ref="B15:B23" totalsRowShown="0" headerRowDxfId="74" dataDxfId="73">
  <autoFilter ref="B15:B23" xr:uid="{ADC1EFD5-3350-4072-8EF2-5133E8CE6D2E}">
    <filterColumn colId="0" hiddenButton="1"/>
  </autoFilter>
  <tableColumns count="1">
    <tableColumn id="1" xr3:uid="{E0E30E6C-8C77-4094-A54C-089E8B9C4815}" name="RISK TYPE" dataDxfId="72"/>
  </tableColumns>
  <tableStyleInfo name="CertiKit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F055B-5234-481D-A432-2E632EDD7D6E}" name="Table4" displayName="Table4" ref="E15:E20" totalsRowShown="0" headerRowDxfId="71">
  <autoFilter ref="E15:E20" xr:uid="{1A728688-554C-4C39-81EA-DFD5D3DCEF34}">
    <filterColumn colId="0" hiddenButton="1"/>
  </autoFilter>
  <tableColumns count="1">
    <tableColumn id="1" xr3:uid="{0D4F1FB8-5CDF-4735-B2A0-EAE98570F98E}" name="TREATMENT ACTION STATUS"/>
  </tableColumns>
  <tableStyleInfo name="CertiKit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E1286-8DEB-4438-B0DC-4526908BB9A6}" name="Table1" displayName="Table1" ref="R8:T11" totalsRowShown="0">
  <autoFilter ref="R8:T11" xr:uid="{54D3D3B4-BC6C-4AF1-95F6-7C95CC09C77A}">
    <filterColumn colId="0" hiddenButton="1"/>
    <filterColumn colId="1" hiddenButton="1"/>
    <filterColumn colId="2" hiddenButton="1"/>
  </autoFilter>
  <tableColumns count="3">
    <tableColumn id="1" xr3:uid="{F23F1193-8162-48F6-90A7-5E21284DF35C}" name="Risk level"/>
    <tableColumn id="2" xr3:uid="{247618CA-BB68-4CFA-94FD-F8EF97D709C5}" name="Pre-Treatment" dataDxfId="1">
      <calculatedColumnFormula>COUNTIF(RiskAssessment[Risk Level],Table1[[#This Row],[Risk level]])</calculatedColumnFormula>
    </tableColumn>
    <tableColumn id="3" xr3:uid="{767FB9D4-83A3-4A52-9158-EE6C4BD19ED3}" name="Post-Treatment" dataDxfId="0">
      <calculatedColumnFormula>COUNTIF(RiskAssessment[Post-Treatment Risk Level],Table1[[#This Row],[Risk level]])</calculatedColumnFormula>
    </tableColumn>
  </tableColumns>
  <tableStyleInfo name="CertiKit table style"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2.bin"/><Relationship Id="rId5" Type="http://schemas.openxmlformats.org/officeDocument/2006/relationships/table" Target="../tables/table8.xml"/><Relationship Id="rId4"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9.xml"/><Relationship Id="rId5" Type="http://schemas.openxmlformats.org/officeDocument/2006/relationships/printerSettings" Target="../printerSettings/printerSettings13.bin"/><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0692-6C49-4CEA-A5EE-F1AC41342BA0}">
  <dimension ref="A2:B28"/>
  <sheetViews>
    <sheetView showGridLines="0" tabSelected="1" zoomScaleNormal="100" workbookViewId="0">
      <selection activeCell="I10" sqref="I10"/>
    </sheetView>
  </sheetViews>
  <sheetFormatPr defaultColWidth="9.109375" defaultRowHeight="14.4"/>
  <cols>
    <col min="1" max="1" width="2.88671875" style="3" customWidth="1"/>
    <col min="2" max="2" width="93.109375" style="3" customWidth="1"/>
    <col min="3" max="16384" width="9.109375" style="3"/>
  </cols>
  <sheetData>
    <row r="2" spans="1:2">
      <c r="B2" s="4"/>
    </row>
    <row r="3" spans="1:2">
      <c r="B3" s="4"/>
    </row>
    <row r="4" spans="1:2">
      <c r="B4" s="4"/>
    </row>
    <row r="5" spans="1:2">
      <c r="B5" s="4"/>
    </row>
    <row r="6" spans="1:2">
      <c r="B6" s="4"/>
    </row>
    <row r="7" spans="1:2" ht="76.8" customHeight="1">
      <c r="B7" s="4"/>
    </row>
    <row r="8" spans="1:2" ht="52.2">
      <c r="B8" s="2" t="s">
        <v>591</v>
      </c>
    </row>
    <row r="10" spans="1:2" ht="107.4">
      <c r="B10" s="2" t="s">
        <v>592</v>
      </c>
    </row>
    <row r="12" spans="1:2" ht="49.8">
      <c r="B12" s="2" t="s">
        <v>593</v>
      </c>
    </row>
    <row r="14" spans="1:2" ht="78.599999999999994">
      <c r="A14" s="83"/>
      <c r="B14" s="2" t="s">
        <v>594</v>
      </c>
    </row>
    <row r="15" spans="1:2">
      <c r="A15" s="83"/>
      <c r="B15" s="87"/>
    </row>
    <row r="16" spans="1:2" ht="179.4">
      <c r="B16" s="2" t="s">
        <v>703</v>
      </c>
    </row>
    <row r="18" spans="2:2" ht="49.8">
      <c r="B18" s="2" t="s">
        <v>595</v>
      </c>
    </row>
    <row r="20" spans="2:2" ht="35.4">
      <c r="B20" s="2" t="s">
        <v>604</v>
      </c>
    </row>
    <row r="22" spans="2:2" ht="64.2">
      <c r="B22" s="2" t="s">
        <v>596</v>
      </c>
    </row>
    <row r="24" spans="2:2" ht="93">
      <c r="B24" s="2" t="s">
        <v>597</v>
      </c>
    </row>
    <row r="26" spans="2:2" ht="222.6">
      <c r="B26" s="2" t="s">
        <v>598</v>
      </c>
    </row>
    <row r="27" spans="2:2" ht="15" thickBot="1">
      <c r="B27" s="35"/>
    </row>
    <row r="28" spans="2:2" ht="15" thickTop="1"/>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907F-E705-40D3-8D4F-BFBE2748236C}">
  <dimension ref="A2:C20"/>
  <sheetViews>
    <sheetView showGridLines="0" topLeftCell="A1246" workbookViewId="0">
      <selection activeCell="C18" sqref="C18"/>
    </sheetView>
  </sheetViews>
  <sheetFormatPr defaultColWidth="9.109375" defaultRowHeight="14.4"/>
  <cols>
    <col min="1" max="1" width="2.88671875" style="3" customWidth="1"/>
    <col min="2" max="2" width="25" style="3" customWidth="1"/>
    <col min="3" max="3" width="83.6640625" style="3" customWidth="1"/>
    <col min="4" max="16384" width="9.109375" style="3"/>
  </cols>
  <sheetData>
    <row r="2" spans="1:3">
      <c r="B2" s="4"/>
    </row>
    <row r="3" spans="1:3">
      <c r="B3" s="4"/>
    </row>
    <row r="4" spans="1:3">
      <c r="B4" s="4"/>
    </row>
    <row r="5" spans="1:3" ht="80.400000000000006" customHeight="1">
      <c r="B5" s="4"/>
    </row>
    <row r="6" spans="1:3">
      <c r="B6" s="4"/>
    </row>
    <row r="8" spans="1:3" ht="21">
      <c r="B8" s="10" t="s">
        <v>1</v>
      </c>
    </row>
    <row r="10" spans="1:3" ht="28.8">
      <c r="A10" s="88"/>
      <c r="B10" s="28" t="s">
        <v>71</v>
      </c>
      <c r="C10" s="109" t="s">
        <v>899</v>
      </c>
    </row>
    <row r="11" spans="1:3" ht="28.8">
      <c r="A11" s="88"/>
      <c r="B11" s="89" t="s">
        <v>270</v>
      </c>
      <c r="C11" s="110" t="s">
        <v>900</v>
      </c>
    </row>
    <row r="12" spans="1:3" ht="43.2">
      <c r="A12" s="88"/>
      <c r="B12" s="28" t="s">
        <v>64</v>
      </c>
      <c r="C12" s="109" t="s">
        <v>901</v>
      </c>
    </row>
    <row r="13" spans="1:3" ht="57.6">
      <c r="A13" s="88"/>
      <c r="B13" s="89" t="s">
        <v>72</v>
      </c>
      <c r="C13" s="110" t="s">
        <v>908</v>
      </c>
    </row>
    <row r="14" spans="1:3" ht="43.2">
      <c r="A14" s="88"/>
      <c r="B14" s="90" t="s">
        <v>271</v>
      </c>
      <c r="C14" s="111" t="s">
        <v>902</v>
      </c>
    </row>
    <row r="15" spans="1:3" ht="28.8">
      <c r="A15" s="88"/>
      <c r="B15" s="28" t="s">
        <v>65</v>
      </c>
      <c r="C15" s="109" t="s">
        <v>903</v>
      </c>
    </row>
    <row r="16" spans="1:3" ht="28.8">
      <c r="A16" s="88"/>
      <c r="B16" s="90" t="s">
        <v>66</v>
      </c>
      <c r="C16" s="91">
        <v>46277</v>
      </c>
    </row>
    <row r="17" spans="1:3" ht="28.8">
      <c r="A17" s="88"/>
      <c r="B17" s="28" t="s">
        <v>67</v>
      </c>
      <c r="C17" s="109" t="s">
        <v>904</v>
      </c>
    </row>
    <row r="18" spans="1:3" ht="28.8">
      <c r="A18" s="88"/>
      <c r="B18" s="28" t="s">
        <v>70</v>
      </c>
      <c r="C18" s="109" t="s">
        <v>905</v>
      </c>
    </row>
    <row r="19" spans="1:3" ht="28.8">
      <c r="A19" s="88"/>
      <c r="B19" s="90" t="s">
        <v>68</v>
      </c>
      <c r="C19" s="110" t="s">
        <v>906</v>
      </c>
    </row>
    <row r="20" spans="1:3" ht="28.8">
      <c r="A20" s="88"/>
      <c r="B20" s="28" t="s">
        <v>69</v>
      </c>
      <c r="C20" s="92" t="s">
        <v>907</v>
      </c>
    </row>
  </sheetData>
  <sheetProtection select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&amp;N&amp;R[Insert classification]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O33"/>
  <sheetViews>
    <sheetView showGridLines="0" zoomScaleNormal="100" workbookViewId="0">
      <selection activeCell="A9" sqref="A9:XFD9"/>
    </sheetView>
  </sheetViews>
  <sheetFormatPr defaultColWidth="9.109375" defaultRowHeight="14.4"/>
  <cols>
    <col min="1" max="1" width="2.88671875" style="11" customWidth="1"/>
    <col min="2" max="2" width="4.33203125" style="11" customWidth="1"/>
    <col min="3" max="3" width="15.88671875" style="11" customWidth="1"/>
    <col min="4" max="6" width="21.109375" style="11" customWidth="1"/>
    <col min="7" max="7" width="10.109375" style="11" customWidth="1"/>
    <col min="8" max="8" width="12.6640625" style="11" customWidth="1"/>
    <col min="9" max="9" width="15.109375" style="11" customWidth="1"/>
    <col min="10" max="10" width="10.5546875" style="11" customWidth="1"/>
    <col min="11" max="11" width="18.33203125" style="11" customWidth="1"/>
    <col min="12" max="12" width="10.6640625" style="11" customWidth="1"/>
    <col min="13" max="13" width="18.33203125" style="11" customWidth="1"/>
    <col min="14" max="14" width="11.6640625" style="11" customWidth="1"/>
    <col min="15" max="15" width="13.44140625" style="11" customWidth="1"/>
    <col min="16" max="16" width="11.6640625" style="11" customWidth="1"/>
    <col min="17" max="17" width="17.109375" style="11" customWidth="1"/>
    <col min="18" max="18" width="15.109375" style="11" customWidth="1"/>
    <col min="19" max="19" width="12.44140625" style="11" customWidth="1"/>
    <col min="20" max="20" width="13.109375" style="11" customWidth="1"/>
    <col min="21" max="21" width="14.88671875" style="11" customWidth="1"/>
    <col min="22" max="22" width="11.88671875" style="11" customWidth="1"/>
    <col min="23" max="23" width="14.88671875" style="11" customWidth="1"/>
    <col min="24" max="24" width="11.33203125" style="11" customWidth="1"/>
    <col min="25" max="25" width="12.5546875" style="11" customWidth="1"/>
    <col min="26" max="26" width="14.5546875" style="11" customWidth="1"/>
    <col min="27" max="27" width="10.88671875" style="11" customWidth="1"/>
    <col min="28" max="28" width="11" style="11" customWidth="1"/>
    <col min="29" max="29" width="11.5546875" style="11" customWidth="1"/>
    <col min="30" max="30" width="18.109375" style="11" customWidth="1"/>
    <col min="31" max="16384" width="9.109375" style="11"/>
  </cols>
  <sheetData>
    <row r="2" spans="2:41" ht="15" customHeight="1">
      <c r="D2" s="15"/>
      <c r="E2" s="15"/>
      <c r="F2" s="15"/>
      <c r="G2" s="16"/>
      <c r="H2" s="15"/>
      <c r="I2" s="15"/>
      <c r="J2" s="15"/>
      <c r="L2" s="15"/>
      <c r="M2" s="15"/>
      <c r="N2" s="15"/>
      <c r="O2" s="15"/>
      <c r="P2" s="15"/>
      <c r="Q2" s="15"/>
      <c r="R2" s="15"/>
    </row>
    <row r="4" spans="2:41">
      <c r="D4" s="15"/>
      <c r="E4" s="15"/>
      <c r="F4" s="15"/>
      <c r="G4" s="17"/>
      <c r="H4" s="15"/>
      <c r="I4" s="15"/>
      <c r="J4" s="15"/>
      <c r="K4" s="15"/>
      <c r="L4" s="15"/>
      <c r="M4" s="15"/>
      <c r="N4" s="15"/>
      <c r="O4" s="15"/>
      <c r="P4" s="15"/>
      <c r="Q4" s="15"/>
      <c r="R4" s="15"/>
    </row>
    <row r="5" spans="2:41">
      <c r="D5" s="15"/>
      <c r="E5" s="15"/>
      <c r="F5" s="15"/>
      <c r="G5" s="17"/>
      <c r="H5" s="15"/>
      <c r="I5" s="15"/>
      <c r="J5" s="15"/>
      <c r="K5" s="15"/>
      <c r="L5" s="15"/>
      <c r="M5" s="15"/>
      <c r="N5" s="15"/>
      <c r="O5" s="15"/>
      <c r="P5" s="15"/>
      <c r="Q5" s="15"/>
      <c r="R5" s="15"/>
    </row>
    <row r="6" spans="2:41" ht="72.599999999999994" customHeight="1">
      <c r="D6" s="15"/>
      <c r="E6" s="15"/>
      <c r="F6" s="15"/>
      <c r="G6" s="17"/>
      <c r="H6" s="15"/>
      <c r="I6" s="15"/>
      <c r="J6" s="15"/>
      <c r="K6" s="15"/>
      <c r="L6" s="15"/>
      <c r="M6" s="15"/>
      <c r="N6" s="15"/>
      <c r="O6" s="15"/>
      <c r="P6" s="15"/>
      <c r="Q6" s="15"/>
      <c r="R6" s="15"/>
    </row>
    <row r="7" spans="2:41">
      <c r="D7" s="15"/>
      <c r="E7" s="15"/>
      <c r="F7" s="15"/>
      <c r="G7" s="17"/>
      <c r="H7" s="15"/>
      <c r="I7" s="15"/>
      <c r="J7" s="15"/>
      <c r="K7" s="15"/>
      <c r="L7" s="15"/>
      <c r="M7" s="15"/>
      <c r="N7" s="15"/>
      <c r="O7" s="15"/>
      <c r="P7" s="15"/>
      <c r="Q7" s="15"/>
      <c r="R7" s="15"/>
    </row>
    <row r="8" spans="2:41" ht="21">
      <c r="B8" s="10" t="s">
        <v>272</v>
      </c>
      <c r="D8" s="15"/>
      <c r="E8" s="15"/>
      <c r="F8" s="15"/>
      <c r="G8" s="17"/>
      <c r="H8" s="15"/>
      <c r="I8" s="15"/>
      <c r="J8" s="15"/>
      <c r="K8" s="15"/>
      <c r="L8" s="15"/>
      <c r="M8" s="15"/>
      <c r="N8" s="15"/>
      <c r="O8" s="15"/>
      <c r="P8" s="15"/>
      <c r="Q8" s="15"/>
      <c r="R8" s="15"/>
    </row>
    <row r="9" spans="2:41">
      <c r="B9" s="93"/>
      <c r="C9" s="93"/>
      <c r="D9" s="94"/>
      <c r="E9" s="94"/>
      <c r="F9" s="94"/>
      <c r="G9" s="95"/>
      <c r="H9" s="15"/>
      <c r="I9" s="15"/>
      <c r="J9" s="15"/>
      <c r="K9" s="15"/>
      <c r="L9" s="15"/>
      <c r="M9" s="15"/>
      <c r="N9" s="15"/>
      <c r="O9" s="15"/>
      <c r="P9" s="15"/>
      <c r="Q9" s="15"/>
      <c r="R9" s="15"/>
    </row>
    <row r="10" spans="2:41" ht="15" customHeight="1">
      <c r="B10" s="69" t="s">
        <v>251</v>
      </c>
      <c r="C10" s="12"/>
      <c r="D10" s="12"/>
      <c r="E10" s="12"/>
      <c r="F10" s="12"/>
      <c r="G10" s="12"/>
      <c r="H10" s="12"/>
      <c r="I10" s="12"/>
      <c r="J10" s="15"/>
      <c r="K10" s="15"/>
      <c r="L10" s="15"/>
      <c r="M10" s="15"/>
      <c r="N10" s="67"/>
      <c r="O10" s="68"/>
      <c r="P10" s="68"/>
      <c r="Q10" s="15"/>
      <c r="R10" s="15"/>
    </row>
    <row r="11" spans="2:41" ht="15" customHeight="1">
      <c r="D11" s="15"/>
      <c r="E11" s="15"/>
      <c r="F11" s="15"/>
      <c r="G11" s="17"/>
      <c r="H11" s="15"/>
      <c r="I11" s="15"/>
      <c r="J11" s="15"/>
      <c r="K11" s="15"/>
      <c r="L11" s="15"/>
      <c r="M11" s="15"/>
      <c r="N11" s="15"/>
      <c r="O11" s="15"/>
      <c r="P11" s="15"/>
      <c r="Q11" s="15"/>
      <c r="R11" s="15"/>
    </row>
    <row r="12" spans="2:41" ht="22.5" customHeight="1">
      <c r="B12" s="112" t="s">
        <v>8</v>
      </c>
      <c r="C12" s="112"/>
      <c r="D12" s="112"/>
      <c r="E12" s="112"/>
      <c r="F12" s="112"/>
      <c r="G12" s="112"/>
      <c r="H12" s="113"/>
      <c r="I12" s="114" t="s">
        <v>211</v>
      </c>
      <c r="J12" s="112"/>
      <c r="K12" s="112"/>
      <c r="L12" s="112"/>
      <c r="M12" s="112"/>
      <c r="N12" s="112"/>
      <c r="O12" s="113"/>
      <c r="P12" s="114" t="s">
        <v>209</v>
      </c>
      <c r="Q12" s="112"/>
      <c r="R12" s="112"/>
      <c r="S12" s="112"/>
      <c r="T12" s="112"/>
      <c r="U12" s="112"/>
      <c r="V12" s="112"/>
      <c r="W12" s="113"/>
      <c r="X12" s="114" t="s">
        <v>212</v>
      </c>
      <c r="Y12" s="112"/>
      <c r="Z12" s="112"/>
      <c r="AA12" s="112"/>
      <c r="AB12" s="112"/>
      <c r="AC12" s="112"/>
      <c r="AD12" s="112"/>
    </row>
    <row r="13" spans="2:41" ht="57.6">
      <c r="B13" s="12" t="s">
        <v>2</v>
      </c>
      <c r="C13" s="12" t="s">
        <v>273</v>
      </c>
      <c r="D13" s="12" t="s">
        <v>274</v>
      </c>
      <c r="E13" s="12" t="s">
        <v>275</v>
      </c>
      <c r="F13" s="12" t="s">
        <v>276</v>
      </c>
      <c r="G13" s="12" t="s">
        <v>73</v>
      </c>
      <c r="H13" s="12" t="s">
        <v>3</v>
      </c>
      <c r="I13" s="12" t="s">
        <v>171</v>
      </c>
      <c r="J13" s="12" t="s">
        <v>4</v>
      </c>
      <c r="K13" s="12" t="s">
        <v>172</v>
      </c>
      <c r="L13" s="12" t="s">
        <v>5</v>
      </c>
      <c r="M13" s="12" t="s">
        <v>173</v>
      </c>
      <c r="N13" s="12" t="s">
        <v>174</v>
      </c>
      <c r="O13" s="12" t="s">
        <v>175</v>
      </c>
      <c r="P13" s="12" t="s">
        <v>176</v>
      </c>
      <c r="Q13" s="12" t="s">
        <v>213</v>
      </c>
      <c r="R13" s="12" t="s">
        <v>74</v>
      </c>
      <c r="S13" s="12" t="s">
        <v>202</v>
      </c>
      <c r="T13" s="12" t="s">
        <v>205</v>
      </c>
      <c r="U13" s="12" t="s">
        <v>206</v>
      </c>
      <c r="V13" s="12" t="s">
        <v>208</v>
      </c>
      <c r="W13" s="12" t="s">
        <v>207</v>
      </c>
      <c r="X13" s="12" t="s">
        <v>177</v>
      </c>
      <c r="Y13" s="12" t="s">
        <v>178</v>
      </c>
      <c r="Z13" s="12" t="s">
        <v>210</v>
      </c>
      <c r="AA13" s="12" t="s">
        <v>179</v>
      </c>
      <c r="AB13" s="12" t="s">
        <v>180</v>
      </c>
      <c r="AC13" s="12" t="s">
        <v>181</v>
      </c>
      <c r="AD13" s="12" t="s">
        <v>7</v>
      </c>
      <c r="AE13" s="18"/>
      <c r="AF13" s="18"/>
      <c r="AG13" s="18"/>
      <c r="AH13" s="18"/>
      <c r="AI13" s="18"/>
      <c r="AJ13" s="18"/>
      <c r="AK13" s="18"/>
      <c r="AL13" s="18"/>
      <c r="AM13" s="18"/>
      <c r="AN13" s="18"/>
      <c r="AO13" s="18"/>
    </row>
    <row r="14" spans="2:41" ht="86.4">
      <c r="B14" s="14">
        <v>1</v>
      </c>
      <c r="C14" s="14" t="s">
        <v>705</v>
      </c>
      <c r="D14" s="14" t="s">
        <v>706</v>
      </c>
      <c r="E14" s="14" t="s">
        <v>707</v>
      </c>
      <c r="F14" s="14" t="s">
        <v>708</v>
      </c>
      <c r="G14" s="14" t="s">
        <v>190</v>
      </c>
      <c r="H14" s="14" t="s">
        <v>709</v>
      </c>
      <c r="I14" s="14" t="s">
        <v>710</v>
      </c>
      <c r="J14" s="14">
        <v>4</v>
      </c>
      <c r="K14" s="14" t="s">
        <v>711</v>
      </c>
      <c r="L14" s="14">
        <v>4</v>
      </c>
      <c r="M14" s="14" t="s">
        <v>712</v>
      </c>
      <c r="N14" s="12">
        <f>IFERROR([1]!RiskAssessment[[#This Row],[Likelihood]]*[1]!RiskAssessment[[#This Row],[Impact]],"Calculated")</f>
        <v>16</v>
      </c>
      <c r="O14" s="12" t="str">
        <f>IF(N14="Calculated", "Calculated", IF(N14&gt;11, " HIGH",IF(N14&gt;4," MEDIUM"," LOW")))</f>
        <v xml:space="preserve"> HIGH</v>
      </c>
      <c r="P14" s="14" t="s">
        <v>12</v>
      </c>
      <c r="Q14" s="14" t="s">
        <v>713</v>
      </c>
      <c r="R14" s="2" t="s">
        <v>714</v>
      </c>
      <c r="S14" s="96" t="s">
        <v>715</v>
      </c>
      <c r="T14" s="14" t="s">
        <v>716</v>
      </c>
      <c r="U14" s="14" t="s">
        <v>717</v>
      </c>
      <c r="V14" s="14" t="s">
        <v>718</v>
      </c>
      <c r="W14" s="14" t="s">
        <v>216</v>
      </c>
      <c r="X14" s="14">
        <v>2</v>
      </c>
      <c r="Y14" s="14" t="s">
        <v>719</v>
      </c>
      <c r="Z14" s="14">
        <v>3</v>
      </c>
      <c r="AA14" s="14" t="s">
        <v>720</v>
      </c>
      <c r="AB14" s="12">
        <f>IFERROR([1]!RiskAssessment[[#This Row],[Post-Treatment Likelihood]]*[1]!RiskAssessment[[#This Row],[Post- Treatment Impact]],"Calculated")</f>
        <v>6</v>
      </c>
      <c r="AC14" s="12" t="str">
        <f t="shared" ref="AC14:AC27" si="0">IF(AB14="Calculated", "Calculated", IF(AB14&gt;11, " HIGH",IF(AB14&gt;4," MEDIUM"," LOW")))</f>
        <v xml:space="preserve"> MEDIUM</v>
      </c>
      <c r="AD14" s="14" t="s">
        <v>721</v>
      </c>
    </row>
    <row r="15" spans="2:41" ht="86.4">
      <c r="B15" s="14">
        <v>2</v>
      </c>
      <c r="C15" s="14" t="s">
        <v>722</v>
      </c>
      <c r="D15" s="14" t="s">
        <v>723</v>
      </c>
      <c r="E15" s="14" t="s">
        <v>724</v>
      </c>
      <c r="F15" s="14" t="s">
        <v>725</v>
      </c>
      <c r="G15" s="14" t="s">
        <v>185</v>
      </c>
      <c r="H15" s="14" t="s">
        <v>726</v>
      </c>
      <c r="I15" s="14" t="s">
        <v>727</v>
      </c>
      <c r="J15" s="14">
        <v>4</v>
      </c>
      <c r="K15" s="14" t="s">
        <v>728</v>
      </c>
      <c r="L15" s="14">
        <v>4</v>
      </c>
      <c r="M15" s="14" t="s">
        <v>729</v>
      </c>
      <c r="N15" s="12">
        <f>IFERROR([1]!RiskAssessment[[#This Row],[Likelihood]]*[1]!RiskAssessment[[#This Row],[Impact]],"Calculated")</f>
        <v>16</v>
      </c>
      <c r="O15" s="12" t="str">
        <f t="shared" ref="O15:O27" si="1">IF(N15="Calculated", "Calculated", IF(N15&gt;11, " HIGH",IF(N15&gt;4," MEDIUM"," LOW")))</f>
        <v xml:space="preserve"> HIGH</v>
      </c>
      <c r="P15" s="14" t="s">
        <v>12</v>
      </c>
      <c r="Q15" s="14" t="s">
        <v>730</v>
      </c>
      <c r="R15" s="2" t="s">
        <v>714</v>
      </c>
      <c r="S15" s="96" t="s">
        <v>731</v>
      </c>
      <c r="T15" s="14" t="s">
        <v>726</v>
      </c>
      <c r="U15" s="14" t="s">
        <v>732</v>
      </c>
      <c r="V15" s="14" t="s">
        <v>733</v>
      </c>
      <c r="W15" s="14" t="s">
        <v>215</v>
      </c>
      <c r="X15" s="14">
        <v>2</v>
      </c>
      <c r="Y15" s="14" t="s">
        <v>734</v>
      </c>
      <c r="Z15" s="14">
        <v>3</v>
      </c>
      <c r="AA15" s="14" t="s">
        <v>735</v>
      </c>
      <c r="AB15" s="12">
        <f>IFERROR([1]!RiskAssessment[[#This Row],[Post-Treatment Likelihood]]*[1]!RiskAssessment[[#This Row],[Post- Treatment Impact]],"Calculated")</f>
        <v>6</v>
      </c>
      <c r="AC15" s="12" t="str">
        <f t="shared" si="0"/>
        <v xml:space="preserve"> MEDIUM</v>
      </c>
      <c r="AD15" s="14"/>
    </row>
    <row r="16" spans="2:41" ht="72">
      <c r="B16" s="14">
        <v>3</v>
      </c>
      <c r="C16" s="14" t="s">
        <v>736</v>
      </c>
      <c r="D16" s="14" t="s">
        <v>737</v>
      </c>
      <c r="E16" s="14" t="s">
        <v>738</v>
      </c>
      <c r="F16" s="14" t="s">
        <v>739</v>
      </c>
      <c r="G16" s="14" t="s">
        <v>184</v>
      </c>
      <c r="H16" s="14" t="s">
        <v>740</v>
      </c>
      <c r="I16" s="14" t="s">
        <v>741</v>
      </c>
      <c r="J16" s="14">
        <v>3</v>
      </c>
      <c r="K16" s="14" t="s">
        <v>742</v>
      </c>
      <c r="L16" s="14">
        <v>4</v>
      </c>
      <c r="M16" s="14" t="s">
        <v>743</v>
      </c>
      <c r="N16" s="12">
        <f>IFERROR([1]!RiskAssessment[[#This Row],[Likelihood]]*[1]!RiskAssessment[[#This Row],[Impact]],"Calculated")</f>
        <v>12</v>
      </c>
      <c r="O16" s="12" t="str">
        <f t="shared" si="1"/>
        <v xml:space="preserve"> HIGH</v>
      </c>
      <c r="P16" s="14" t="s">
        <v>12</v>
      </c>
      <c r="Q16" s="14" t="s">
        <v>744</v>
      </c>
      <c r="R16" s="2" t="s">
        <v>745</v>
      </c>
      <c r="S16" s="96" t="s">
        <v>731</v>
      </c>
      <c r="T16" s="14" t="s">
        <v>746</v>
      </c>
      <c r="U16" s="14" t="s">
        <v>747</v>
      </c>
      <c r="V16" s="14" t="s">
        <v>748</v>
      </c>
      <c r="W16" s="14" t="s">
        <v>216</v>
      </c>
      <c r="X16" s="14">
        <v>1</v>
      </c>
      <c r="Y16" s="14" t="s">
        <v>749</v>
      </c>
      <c r="Z16" s="14">
        <v>2</v>
      </c>
      <c r="AA16" s="14" t="s">
        <v>750</v>
      </c>
      <c r="AB16" s="12">
        <f>IFERROR([1]!RiskAssessment[[#This Row],[Post-Treatment Likelihood]]*[1]!RiskAssessment[[#This Row],[Post- Treatment Impact]],"Calculated")</f>
        <v>2</v>
      </c>
      <c r="AC16" s="12" t="str">
        <f t="shared" si="0"/>
        <v xml:space="preserve"> LOW</v>
      </c>
      <c r="AD16" s="14" t="s">
        <v>751</v>
      </c>
    </row>
    <row r="17" spans="2:30" ht="86.4">
      <c r="B17" s="14">
        <v>4</v>
      </c>
      <c r="C17" s="105" t="s">
        <v>752</v>
      </c>
      <c r="D17" s="105" t="s">
        <v>753</v>
      </c>
      <c r="E17" s="106" t="s">
        <v>895</v>
      </c>
      <c r="F17" s="106" t="s">
        <v>754</v>
      </c>
      <c r="G17" s="14" t="s">
        <v>190</v>
      </c>
      <c r="H17" s="105" t="s">
        <v>755</v>
      </c>
      <c r="I17" s="105" t="s">
        <v>896</v>
      </c>
      <c r="J17" s="14">
        <v>5</v>
      </c>
      <c r="K17" s="105" t="s">
        <v>897</v>
      </c>
      <c r="L17" s="14">
        <v>4</v>
      </c>
      <c r="M17" s="105" t="s">
        <v>898</v>
      </c>
      <c r="N17" s="12">
        <f>IFERROR([1]!RiskAssessment[[#This Row],[Likelihood]]*[1]!RiskAssessment[[#This Row],[Impact]],"Calculated")</f>
        <v>20</v>
      </c>
      <c r="O17" s="12" t="str">
        <f t="shared" si="1"/>
        <v xml:space="preserve"> HIGH</v>
      </c>
      <c r="P17" s="14" t="s">
        <v>12</v>
      </c>
      <c r="Q17" s="105" t="s">
        <v>756</v>
      </c>
      <c r="R17" s="107" t="s">
        <v>757</v>
      </c>
      <c r="S17" s="108" t="s">
        <v>731</v>
      </c>
      <c r="T17" s="105" t="s">
        <v>758</v>
      </c>
      <c r="U17" s="86" t="s">
        <v>759</v>
      </c>
      <c r="V17" s="105" t="s">
        <v>760</v>
      </c>
      <c r="W17" s="14" t="s">
        <v>215</v>
      </c>
      <c r="X17" s="14">
        <v>3</v>
      </c>
      <c r="Y17" s="105" t="s">
        <v>761</v>
      </c>
      <c r="Z17" s="14">
        <v>3</v>
      </c>
      <c r="AA17" s="105" t="s">
        <v>762</v>
      </c>
      <c r="AB17" s="12">
        <f>IFERROR([1]!RiskAssessment[[#This Row],[Post-Treatment Likelihood]]*[1]!RiskAssessment[[#This Row],[Post- Treatment Impact]],"Calculated")</f>
        <v>9</v>
      </c>
      <c r="AC17" s="12" t="str">
        <f t="shared" si="0"/>
        <v xml:space="preserve"> MEDIUM</v>
      </c>
      <c r="AD17" s="105" t="s">
        <v>763</v>
      </c>
    </row>
    <row r="18" spans="2:30" ht="69">
      <c r="B18" s="14">
        <v>5</v>
      </c>
      <c r="C18" s="105" t="s">
        <v>764</v>
      </c>
      <c r="D18" s="105" t="s">
        <v>765</v>
      </c>
      <c r="E18" s="106" t="s">
        <v>766</v>
      </c>
      <c r="F18" s="106" t="s">
        <v>767</v>
      </c>
      <c r="G18" s="14" t="s">
        <v>185</v>
      </c>
      <c r="H18" s="105" t="s">
        <v>726</v>
      </c>
      <c r="I18" s="105" t="s">
        <v>768</v>
      </c>
      <c r="J18" s="14">
        <v>4</v>
      </c>
      <c r="K18" s="105" t="s">
        <v>769</v>
      </c>
      <c r="L18" s="14">
        <v>3</v>
      </c>
      <c r="M18" s="105" t="s">
        <v>770</v>
      </c>
      <c r="N18" s="12">
        <f>IFERROR([1]!RiskAssessment[[#This Row],[Likelihood]]*[1]!RiskAssessment[[#This Row],[Impact]],"Calculated")</f>
        <v>12</v>
      </c>
      <c r="O18" s="12" t="str">
        <f t="shared" si="1"/>
        <v xml:space="preserve"> HIGH</v>
      </c>
      <c r="P18" s="14" t="s">
        <v>12</v>
      </c>
      <c r="Q18" s="105" t="s">
        <v>771</v>
      </c>
      <c r="R18" s="14" t="s">
        <v>772</v>
      </c>
      <c r="S18" s="108" t="s">
        <v>731</v>
      </c>
      <c r="T18" s="105" t="s">
        <v>773</v>
      </c>
      <c r="U18" s="14" t="s">
        <v>774</v>
      </c>
      <c r="V18" s="105" t="s">
        <v>760</v>
      </c>
      <c r="W18" s="14" t="s">
        <v>215</v>
      </c>
      <c r="X18" s="14">
        <v>1</v>
      </c>
      <c r="Y18" s="105" t="s">
        <v>775</v>
      </c>
      <c r="Z18" s="14">
        <v>2</v>
      </c>
      <c r="AA18" s="105" t="s">
        <v>776</v>
      </c>
      <c r="AB18" s="12">
        <f>IFERROR([1]!RiskAssessment[[#This Row],[Post-Treatment Likelihood]]*[1]!RiskAssessment[[#This Row],[Post- Treatment Impact]],"Calculated")</f>
        <v>2</v>
      </c>
      <c r="AC18" s="12" t="str">
        <f t="shared" si="0"/>
        <v xml:space="preserve"> LOW</v>
      </c>
      <c r="AD18" s="105" t="s">
        <v>777</v>
      </c>
    </row>
    <row r="19" spans="2:30" ht="84">
      <c r="B19" s="14">
        <v>6</v>
      </c>
      <c r="C19" s="105" t="s">
        <v>778</v>
      </c>
      <c r="D19" s="105" t="s">
        <v>779</v>
      </c>
      <c r="E19" s="106" t="s">
        <v>780</v>
      </c>
      <c r="F19" s="106" t="s">
        <v>781</v>
      </c>
      <c r="G19" s="14" t="s">
        <v>184</v>
      </c>
      <c r="H19" s="105" t="s">
        <v>782</v>
      </c>
      <c r="I19" s="105" t="s">
        <v>783</v>
      </c>
      <c r="J19" s="14">
        <v>3</v>
      </c>
      <c r="K19" s="105" t="s">
        <v>784</v>
      </c>
      <c r="L19" s="14">
        <v>4</v>
      </c>
      <c r="M19" s="105" t="s">
        <v>785</v>
      </c>
      <c r="N19" s="12">
        <f>IFERROR([1]!RiskAssessment[[#This Row],[Likelihood]]*[1]!RiskAssessment[[#This Row],[Impact]],"Calculated")</f>
        <v>12</v>
      </c>
      <c r="O19" s="12" t="str">
        <f t="shared" si="1"/>
        <v xml:space="preserve"> HIGH</v>
      </c>
      <c r="P19" s="14" t="s">
        <v>12</v>
      </c>
      <c r="Q19" s="105" t="s">
        <v>786</v>
      </c>
      <c r="R19" s="14" t="s">
        <v>787</v>
      </c>
      <c r="S19" s="108" t="s">
        <v>731</v>
      </c>
      <c r="T19" s="105" t="s">
        <v>788</v>
      </c>
      <c r="U19" s="14" t="s">
        <v>789</v>
      </c>
      <c r="V19" s="105" t="s">
        <v>790</v>
      </c>
      <c r="W19" s="14" t="s">
        <v>216</v>
      </c>
      <c r="X19" s="14">
        <v>1</v>
      </c>
      <c r="Y19" s="105" t="s">
        <v>791</v>
      </c>
      <c r="Z19" s="14">
        <v>3</v>
      </c>
      <c r="AA19" s="105" t="s">
        <v>792</v>
      </c>
      <c r="AB19" s="12">
        <f>IFERROR([1]!RiskAssessment[[#This Row],[Post-Treatment Likelihood]]*[1]!RiskAssessment[[#This Row],[Post- Treatment Impact]],"Calculated")</f>
        <v>3</v>
      </c>
      <c r="AC19" s="12" t="str">
        <f t="shared" si="0"/>
        <v xml:space="preserve"> LOW</v>
      </c>
      <c r="AD19" s="105" t="s">
        <v>793</v>
      </c>
    </row>
    <row r="20" spans="2:30" ht="86.4">
      <c r="B20" s="14">
        <v>7</v>
      </c>
      <c r="C20" s="105" t="s">
        <v>794</v>
      </c>
      <c r="D20" s="105" t="s">
        <v>795</v>
      </c>
      <c r="E20" s="106" t="s">
        <v>796</v>
      </c>
      <c r="F20" s="106" t="s">
        <v>797</v>
      </c>
      <c r="G20" s="14" t="s">
        <v>190</v>
      </c>
      <c r="H20" s="14" t="s">
        <v>798</v>
      </c>
      <c r="I20" s="105" t="s">
        <v>799</v>
      </c>
      <c r="J20" s="14">
        <v>3</v>
      </c>
      <c r="K20" s="105" t="s">
        <v>800</v>
      </c>
      <c r="L20" s="14">
        <v>5</v>
      </c>
      <c r="M20" s="105" t="s">
        <v>801</v>
      </c>
      <c r="N20" s="12">
        <f>IFERROR([1]!RiskAssessment[[#This Row],[Likelihood]]*[1]!RiskAssessment[[#This Row],[Impact]],"Calculated")</f>
        <v>15</v>
      </c>
      <c r="O20" s="12" t="str">
        <f t="shared" si="1"/>
        <v xml:space="preserve"> HIGH</v>
      </c>
      <c r="P20" s="14" t="s">
        <v>12</v>
      </c>
      <c r="Q20" s="105" t="s">
        <v>802</v>
      </c>
      <c r="R20" s="14" t="s">
        <v>803</v>
      </c>
      <c r="S20" s="108" t="s">
        <v>804</v>
      </c>
      <c r="T20" s="105" t="s">
        <v>788</v>
      </c>
      <c r="U20" s="14" t="s">
        <v>805</v>
      </c>
      <c r="V20" s="105" t="s">
        <v>760</v>
      </c>
      <c r="W20" s="14" t="s">
        <v>215</v>
      </c>
      <c r="X20" s="14">
        <v>2</v>
      </c>
      <c r="Y20" s="105" t="s">
        <v>806</v>
      </c>
      <c r="Z20" s="14">
        <v>4</v>
      </c>
      <c r="AA20" s="105" t="s">
        <v>807</v>
      </c>
      <c r="AB20" s="12">
        <f>IFERROR([1]!RiskAssessment[[#This Row],[Post-Treatment Likelihood]]*[1]!RiskAssessment[[#This Row],[Post- Treatment Impact]],"Calculated")</f>
        <v>8</v>
      </c>
      <c r="AC20" s="12" t="str">
        <f t="shared" si="0"/>
        <v xml:space="preserve"> MEDIUM</v>
      </c>
      <c r="AD20" s="14"/>
    </row>
    <row r="21" spans="2:30" ht="72">
      <c r="B21" s="14">
        <v>8</v>
      </c>
      <c r="C21" s="105" t="s">
        <v>808</v>
      </c>
      <c r="D21" s="105" t="s">
        <v>809</v>
      </c>
      <c r="E21" s="106" t="s">
        <v>810</v>
      </c>
      <c r="F21" s="106" t="s">
        <v>811</v>
      </c>
      <c r="G21" s="14" t="s">
        <v>184</v>
      </c>
      <c r="H21" s="105" t="s">
        <v>812</v>
      </c>
      <c r="I21" s="105" t="s">
        <v>813</v>
      </c>
      <c r="J21" s="14">
        <v>3</v>
      </c>
      <c r="K21" s="105" t="s">
        <v>814</v>
      </c>
      <c r="L21" s="14">
        <v>4</v>
      </c>
      <c r="M21" s="105" t="s">
        <v>815</v>
      </c>
      <c r="N21" s="12">
        <f>IFERROR([1]!RiskAssessment[[#This Row],[Likelihood]]*[1]!RiskAssessment[[#This Row],[Impact]],"Calculated")</f>
        <v>12</v>
      </c>
      <c r="O21" s="12" t="str">
        <f t="shared" si="1"/>
        <v xml:space="preserve"> HIGH</v>
      </c>
      <c r="P21" s="14" t="s">
        <v>12</v>
      </c>
      <c r="Q21" s="105" t="s">
        <v>816</v>
      </c>
      <c r="R21" s="14" t="s">
        <v>817</v>
      </c>
      <c r="S21" s="108" t="s">
        <v>715</v>
      </c>
      <c r="T21" s="105" t="s">
        <v>716</v>
      </c>
      <c r="U21" s="14" t="s">
        <v>818</v>
      </c>
      <c r="V21" s="105" t="s">
        <v>760</v>
      </c>
      <c r="W21" s="14" t="s">
        <v>215</v>
      </c>
      <c r="X21" s="14">
        <v>1</v>
      </c>
      <c r="Y21" s="105" t="s">
        <v>819</v>
      </c>
      <c r="Z21" s="14">
        <v>2</v>
      </c>
      <c r="AA21" s="105" t="s">
        <v>820</v>
      </c>
      <c r="AB21" s="12">
        <f>IFERROR([1]!RiskAssessment[[#This Row],[Post-Treatment Likelihood]]*[1]!RiskAssessment[[#This Row],[Post- Treatment Impact]],"Calculated")</f>
        <v>2</v>
      </c>
      <c r="AC21" s="12" t="str">
        <f t="shared" si="0"/>
        <v xml:space="preserve"> LOW</v>
      </c>
      <c r="AD21" s="14"/>
    </row>
    <row r="22" spans="2:30" ht="84">
      <c r="B22" s="14">
        <v>9</v>
      </c>
      <c r="C22" s="105" t="s">
        <v>821</v>
      </c>
      <c r="D22" s="105" t="s">
        <v>822</v>
      </c>
      <c r="E22" s="106" t="s">
        <v>823</v>
      </c>
      <c r="F22" s="106" t="s">
        <v>824</v>
      </c>
      <c r="G22" s="14" t="s">
        <v>190</v>
      </c>
      <c r="H22" s="105" t="s">
        <v>709</v>
      </c>
      <c r="I22" s="105" t="s">
        <v>825</v>
      </c>
      <c r="J22" s="14">
        <v>2</v>
      </c>
      <c r="K22" s="105" t="s">
        <v>826</v>
      </c>
      <c r="L22" s="14">
        <v>3</v>
      </c>
      <c r="M22" s="105" t="s">
        <v>827</v>
      </c>
      <c r="N22" s="12">
        <f>IFERROR([1]!RiskAssessment[[#This Row],[Likelihood]]*[1]!RiskAssessment[[#This Row],[Impact]],"Calculated")</f>
        <v>6</v>
      </c>
      <c r="O22" s="12" t="str">
        <f t="shared" si="1"/>
        <v xml:space="preserve"> MEDIUM</v>
      </c>
      <c r="P22" s="14" t="s">
        <v>12</v>
      </c>
      <c r="Q22" s="105" t="s">
        <v>828</v>
      </c>
      <c r="R22" s="14" t="s">
        <v>829</v>
      </c>
      <c r="S22" s="108" t="s">
        <v>731</v>
      </c>
      <c r="T22" s="105" t="s">
        <v>709</v>
      </c>
      <c r="U22" s="14" t="s">
        <v>818</v>
      </c>
      <c r="V22" s="105" t="s">
        <v>760</v>
      </c>
      <c r="W22" s="14" t="s">
        <v>215</v>
      </c>
      <c r="X22" s="14">
        <v>1</v>
      </c>
      <c r="Y22" s="105" t="s">
        <v>830</v>
      </c>
      <c r="Z22" s="14">
        <v>2</v>
      </c>
      <c r="AA22" s="105" t="s">
        <v>831</v>
      </c>
      <c r="AB22" s="12">
        <f>IFERROR([1]!RiskAssessment[[#This Row],[Post-Treatment Likelihood]]*[1]!RiskAssessment[[#This Row],[Post- Treatment Impact]],"Calculated")</f>
        <v>2</v>
      </c>
      <c r="AC22" s="12" t="str">
        <f t="shared" si="0"/>
        <v xml:space="preserve"> LOW</v>
      </c>
      <c r="AD22" s="14"/>
    </row>
    <row r="23" spans="2:30" ht="72">
      <c r="B23" s="14">
        <v>10</v>
      </c>
      <c r="C23" s="105" t="s">
        <v>832</v>
      </c>
      <c r="D23" s="105" t="s">
        <v>833</v>
      </c>
      <c r="E23" s="106" t="s">
        <v>834</v>
      </c>
      <c r="F23" s="106" t="s">
        <v>835</v>
      </c>
      <c r="G23" s="14" t="s">
        <v>185</v>
      </c>
      <c r="H23" s="105" t="s">
        <v>726</v>
      </c>
      <c r="I23" s="105" t="s">
        <v>836</v>
      </c>
      <c r="J23" s="14">
        <v>3</v>
      </c>
      <c r="K23" s="105" t="s">
        <v>837</v>
      </c>
      <c r="L23" s="14">
        <v>4</v>
      </c>
      <c r="M23" s="105" t="s">
        <v>838</v>
      </c>
      <c r="N23" s="12">
        <f>IFERROR([1]!RiskAssessment[[#This Row],[Likelihood]]*[1]!RiskAssessment[[#This Row],[Impact]],"Calculated")</f>
        <v>12</v>
      </c>
      <c r="O23" s="12" t="str">
        <f t="shared" si="1"/>
        <v xml:space="preserve"> HIGH</v>
      </c>
      <c r="P23" s="14" t="s">
        <v>12</v>
      </c>
      <c r="Q23" s="105" t="s">
        <v>839</v>
      </c>
      <c r="R23" s="14" t="s">
        <v>840</v>
      </c>
      <c r="S23" s="108" t="s">
        <v>841</v>
      </c>
      <c r="T23" s="105" t="s">
        <v>726</v>
      </c>
      <c r="U23" s="14" t="s">
        <v>759</v>
      </c>
      <c r="V23" s="105" t="s">
        <v>760</v>
      </c>
      <c r="W23" s="14" t="s">
        <v>215</v>
      </c>
      <c r="X23" s="14">
        <v>2</v>
      </c>
      <c r="Y23" s="105" t="s">
        <v>842</v>
      </c>
      <c r="Z23" s="14">
        <v>3</v>
      </c>
      <c r="AA23" s="105" t="s">
        <v>843</v>
      </c>
      <c r="AB23" s="12">
        <f>IFERROR([1]!RiskAssessment[[#This Row],[Post-Treatment Likelihood]]*[1]!RiskAssessment[[#This Row],[Post- Treatment Impact]],"Calculated")</f>
        <v>6</v>
      </c>
      <c r="AC23" s="12" t="str">
        <f t="shared" si="0"/>
        <v xml:space="preserve"> MEDIUM</v>
      </c>
      <c r="AD23" s="14"/>
    </row>
    <row r="24" spans="2:30" ht="72">
      <c r="B24" s="14">
        <v>11</v>
      </c>
      <c r="C24" s="105" t="s">
        <v>844</v>
      </c>
      <c r="D24" s="105" t="s">
        <v>845</v>
      </c>
      <c r="E24" s="106" t="s">
        <v>846</v>
      </c>
      <c r="F24" s="106" t="s">
        <v>847</v>
      </c>
      <c r="G24" s="14" t="s">
        <v>190</v>
      </c>
      <c r="H24" s="105" t="s">
        <v>848</v>
      </c>
      <c r="I24" s="105" t="s">
        <v>849</v>
      </c>
      <c r="J24" s="14">
        <v>3</v>
      </c>
      <c r="K24" s="105" t="s">
        <v>850</v>
      </c>
      <c r="L24" s="14">
        <v>4</v>
      </c>
      <c r="M24" s="105" t="s">
        <v>851</v>
      </c>
      <c r="N24" s="12">
        <f>IFERROR([1]!RiskAssessment[[#This Row],[Likelihood]]*[1]!RiskAssessment[[#This Row],[Impact]],"Calculated")</f>
        <v>12</v>
      </c>
      <c r="O24" s="12" t="str">
        <f t="shared" si="1"/>
        <v xml:space="preserve"> HIGH</v>
      </c>
      <c r="P24" s="14" t="s">
        <v>12</v>
      </c>
      <c r="Q24" s="105" t="s">
        <v>852</v>
      </c>
      <c r="R24" s="14" t="s">
        <v>853</v>
      </c>
      <c r="S24" s="108" t="s">
        <v>715</v>
      </c>
      <c r="T24" s="105" t="s">
        <v>726</v>
      </c>
      <c r="U24" s="14" t="s">
        <v>759</v>
      </c>
      <c r="V24" s="105" t="s">
        <v>760</v>
      </c>
      <c r="W24" s="14" t="s">
        <v>215</v>
      </c>
      <c r="X24" s="14">
        <v>1</v>
      </c>
      <c r="Y24" s="105" t="s">
        <v>854</v>
      </c>
      <c r="Z24" s="14">
        <v>3</v>
      </c>
      <c r="AA24" s="105" t="s">
        <v>855</v>
      </c>
      <c r="AB24" s="12">
        <f>IFERROR([1]!RiskAssessment[[#This Row],[Post-Treatment Likelihood]]*[1]!RiskAssessment[[#This Row],[Post- Treatment Impact]],"Calculated")</f>
        <v>3</v>
      </c>
      <c r="AC24" s="12" t="str">
        <f t="shared" si="0"/>
        <v xml:space="preserve"> LOW</v>
      </c>
      <c r="AD24" s="14"/>
    </row>
    <row r="25" spans="2:30" ht="86.4">
      <c r="B25" s="14">
        <v>12</v>
      </c>
      <c r="C25" s="105" t="s">
        <v>856</v>
      </c>
      <c r="D25" s="105" t="s">
        <v>857</v>
      </c>
      <c r="E25" s="106" t="s">
        <v>858</v>
      </c>
      <c r="F25" s="106" t="s">
        <v>859</v>
      </c>
      <c r="G25" s="14" t="s">
        <v>190</v>
      </c>
      <c r="H25" s="105" t="s">
        <v>782</v>
      </c>
      <c r="I25" s="105" t="s">
        <v>860</v>
      </c>
      <c r="J25" s="14">
        <v>5</v>
      </c>
      <c r="K25" s="105" t="s">
        <v>861</v>
      </c>
      <c r="L25" s="14">
        <v>3</v>
      </c>
      <c r="M25" s="105" t="s">
        <v>862</v>
      </c>
      <c r="N25" s="12">
        <f>IFERROR([1]!RiskAssessment[[#This Row],[Likelihood]]*[1]!RiskAssessment[[#This Row],[Impact]],"Calculated")</f>
        <v>15</v>
      </c>
      <c r="O25" s="12" t="str">
        <f t="shared" si="1"/>
        <v xml:space="preserve"> HIGH</v>
      </c>
      <c r="P25" s="14" t="s">
        <v>12</v>
      </c>
      <c r="Q25" s="105" t="s">
        <v>863</v>
      </c>
      <c r="R25" s="14" t="s">
        <v>864</v>
      </c>
      <c r="S25" s="108" t="s">
        <v>731</v>
      </c>
      <c r="T25" s="105" t="s">
        <v>865</v>
      </c>
      <c r="U25" s="105" t="s">
        <v>866</v>
      </c>
      <c r="V25" s="105" t="s">
        <v>760</v>
      </c>
      <c r="W25" s="14" t="s">
        <v>215</v>
      </c>
      <c r="X25" s="14">
        <v>3</v>
      </c>
      <c r="Y25" s="105" t="s">
        <v>867</v>
      </c>
      <c r="Z25" s="14">
        <v>2</v>
      </c>
      <c r="AA25" s="105" t="s">
        <v>868</v>
      </c>
      <c r="AB25" s="12">
        <f>IFERROR([1]!RiskAssessment[[#This Row],[Post-Treatment Likelihood]]*[1]!RiskAssessment[[#This Row],[Post- Treatment Impact]],"Calculated")</f>
        <v>6</v>
      </c>
      <c r="AC25" s="12" t="str">
        <f t="shared" si="0"/>
        <v xml:space="preserve"> MEDIUM</v>
      </c>
      <c r="AD25" s="105" t="s">
        <v>869</v>
      </c>
    </row>
    <row r="26" spans="2:30" ht="144">
      <c r="B26" s="14">
        <v>13</v>
      </c>
      <c r="C26" s="105" t="s">
        <v>870</v>
      </c>
      <c r="D26" s="105" t="s">
        <v>871</v>
      </c>
      <c r="E26" s="106" t="s">
        <v>872</v>
      </c>
      <c r="F26" s="106" t="s">
        <v>873</v>
      </c>
      <c r="G26" s="14" t="s">
        <v>185</v>
      </c>
      <c r="H26" s="105" t="s">
        <v>709</v>
      </c>
      <c r="I26" s="105" t="s">
        <v>874</v>
      </c>
      <c r="J26" s="14">
        <v>2</v>
      </c>
      <c r="K26" s="105" t="s">
        <v>875</v>
      </c>
      <c r="L26" s="14">
        <v>5</v>
      </c>
      <c r="M26" s="105" t="s">
        <v>876</v>
      </c>
      <c r="N26" s="12">
        <f>IFERROR([1]!RiskAssessment[[#This Row],[Likelihood]]*[1]!RiskAssessment[[#This Row],[Impact]],"Calculated")</f>
        <v>10</v>
      </c>
      <c r="O26" s="12" t="str">
        <f t="shared" si="1"/>
        <v xml:space="preserve"> MEDIUM</v>
      </c>
      <c r="P26" s="14" t="s">
        <v>12</v>
      </c>
      <c r="Q26" s="105" t="s">
        <v>877</v>
      </c>
      <c r="R26" s="14" t="s">
        <v>878</v>
      </c>
      <c r="S26" s="108" t="s">
        <v>715</v>
      </c>
      <c r="T26" s="105" t="s">
        <v>709</v>
      </c>
      <c r="U26" s="105" t="s">
        <v>879</v>
      </c>
      <c r="V26" s="105" t="s">
        <v>760</v>
      </c>
      <c r="W26" s="14" t="s">
        <v>215</v>
      </c>
      <c r="X26" s="14">
        <v>1</v>
      </c>
      <c r="Y26" s="105" t="s">
        <v>880</v>
      </c>
      <c r="Z26" s="14">
        <v>4</v>
      </c>
      <c r="AA26" s="105" t="s">
        <v>881</v>
      </c>
      <c r="AB26" s="12">
        <f>IFERROR([1]!RiskAssessment[[#This Row],[Post-Treatment Likelihood]]*[1]!RiskAssessment[[#This Row],[Post- Treatment Impact]],"Calculated")</f>
        <v>4</v>
      </c>
      <c r="AC26" s="12" t="str">
        <f t="shared" si="0"/>
        <v xml:space="preserve"> LOW</v>
      </c>
      <c r="AD26" s="14"/>
    </row>
    <row r="27" spans="2:30" ht="86.4">
      <c r="B27" s="14">
        <v>14</v>
      </c>
      <c r="C27" s="105" t="s">
        <v>882</v>
      </c>
      <c r="D27" s="105" t="s">
        <v>883</v>
      </c>
      <c r="E27" s="105" t="s">
        <v>884</v>
      </c>
      <c r="F27" s="105" t="s">
        <v>885</v>
      </c>
      <c r="G27" s="14" t="s">
        <v>190</v>
      </c>
      <c r="H27" s="105" t="s">
        <v>886</v>
      </c>
      <c r="I27" s="105" t="s">
        <v>887</v>
      </c>
      <c r="J27" s="14">
        <v>3</v>
      </c>
      <c r="K27" s="105" t="s">
        <v>888</v>
      </c>
      <c r="L27" s="14">
        <v>4</v>
      </c>
      <c r="M27" s="105" t="s">
        <v>889</v>
      </c>
      <c r="N27" s="12">
        <f>IFERROR([1]!RiskAssessment[[#This Row],[Likelihood]]*[1]!RiskAssessment[[#This Row],[Impact]],"Calculated")</f>
        <v>12</v>
      </c>
      <c r="O27" s="12" t="str">
        <f t="shared" si="1"/>
        <v xml:space="preserve"> HIGH</v>
      </c>
      <c r="P27" s="14" t="s">
        <v>12</v>
      </c>
      <c r="Q27" s="105" t="s">
        <v>890</v>
      </c>
      <c r="R27" s="14" t="s">
        <v>891</v>
      </c>
      <c r="S27" s="108" t="s">
        <v>731</v>
      </c>
      <c r="T27" s="105" t="s">
        <v>886</v>
      </c>
      <c r="U27" s="14" t="s">
        <v>789</v>
      </c>
      <c r="V27" s="105" t="s">
        <v>760</v>
      </c>
      <c r="W27" s="14" t="s">
        <v>215</v>
      </c>
      <c r="X27" s="14">
        <v>1</v>
      </c>
      <c r="Y27" s="105" t="s">
        <v>892</v>
      </c>
      <c r="Z27" s="14">
        <v>3</v>
      </c>
      <c r="AA27" s="105" t="s">
        <v>893</v>
      </c>
      <c r="AB27" s="12">
        <f>IFERROR([1]!RiskAssessment[[#This Row],[Post-Treatment Likelihood]]*[1]!RiskAssessment[[#This Row],[Post- Treatment Impact]],"Calculated")</f>
        <v>3</v>
      </c>
      <c r="AC27" s="12" t="str">
        <f t="shared" si="0"/>
        <v xml:space="preserve"> LOW</v>
      </c>
      <c r="AD27" s="105" t="s">
        <v>894</v>
      </c>
    </row>
    <row r="28" spans="2:30">
      <c r="B28" s="14">
        <v>15</v>
      </c>
      <c r="C28" s="14"/>
      <c r="D28" s="14"/>
      <c r="E28" s="14"/>
      <c r="F28" s="14"/>
      <c r="G28" s="14" t="s">
        <v>0</v>
      </c>
      <c r="H28" s="14"/>
      <c r="I28" s="14"/>
      <c r="J28" s="14" t="s">
        <v>0</v>
      </c>
      <c r="K28" s="14"/>
      <c r="L28" s="14" t="s">
        <v>0</v>
      </c>
      <c r="M28" s="14"/>
      <c r="N28" s="12" t="str">
        <f>IFERROR([1]!RiskAssessment[[#This Row],[Likelihood]]*[1]!RiskAssessment[[#This Row],[Impact]],"Calculated")</f>
        <v>Calculated</v>
      </c>
      <c r="O28" s="12" t="str">
        <f t="shared" ref="O28:O33" si="2">IF(N28="Calculated", "Calculated", IF(N28&gt;11, " HIGH",IF(N28&gt;4," MEDIUM"," LOW")))</f>
        <v>Calculated</v>
      </c>
      <c r="P28" s="14" t="s">
        <v>0</v>
      </c>
      <c r="Q28" s="14"/>
      <c r="R28" s="14"/>
      <c r="S28" s="96">
        <v>0</v>
      </c>
      <c r="T28" s="14"/>
      <c r="U28" s="14"/>
      <c r="V28" s="14"/>
      <c r="W28" s="14" t="s">
        <v>0</v>
      </c>
      <c r="X28" s="14" t="s">
        <v>0</v>
      </c>
      <c r="Y28" s="14"/>
      <c r="Z28" s="14" t="s">
        <v>0</v>
      </c>
      <c r="AA28" s="14"/>
      <c r="AB28" s="12" t="str">
        <f>IFERROR([1]!RiskAssessment[[#This Row],[Post-Treatment Likelihood]]*[1]!RiskAssessment[[#This Row],[Post- Treatment Impact]],"Calculated")</f>
        <v>Calculated</v>
      </c>
      <c r="AC28" s="12" t="str">
        <f t="shared" ref="AC28:AC33" si="3">IF(AB28="Calculated", "Calculated", IF(AB28&gt;11, " HIGH",IF(AB28&gt;4," MEDIUM"," LOW")))</f>
        <v>Calculated</v>
      </c>
      <c r="AD28" s="14"/>
    </row>
    <row r="29" spans="2:30">
      <c r="B29" s="14">
        <v>16</v>
      </c>
      <c r="C29" s="14"/>
      <c r="D29" s="14"/>
      <c r="E29" s="14"/>
      <c r="F29" s="14"/>
      <c r="G29" s="14" t="s">
        <v>0</v>
      </c>
      <c r="H29" s="14"/>
      <c r="I29" s="14"/>
      <c r="J29" s="14" t="s">
        <v>0</v>
      </c>
      <c r="K29" s="14"/>
      <c r="L29" s="14" t="s">
        <v>0</v>
      </c>
      <c r="M29" s="14"/>
      <c r="N29" s="12" t="str">
        <f>IFERROR([1]!RiskAssessment[[#This Row],[Likelihood]]*[1]!RiskAssessment[[#This Row],[Impact]],"Calculated")</f>
        <v>Calculated</v>
      </c>
      <c r="O29" s="12" t="str">
        <f t="shared" si="2"/>
        <v>Calculated</v>
      </c>
      <c r="P29" s="14" t="s">
        <v>0</v>
      </c>
      <c r="Q29" s="14"/>
      <c r="R29" s="14"/>
      <c r="S29" s="96">
        <v>0</v>
      </c>
      <c r="T29" s="14"/>
      <c r="U29" s="14"/>
      <c r="V29" s="14"/>
      <c r="W29" s="14" t="s">
        <v>0</v>
      </c>
      <c r="X29" s="14" t="s">
        <v>0</v>
      </c>
      <c r="Y29" s="14"/>
      <c r="Z29" s="14" t="s">
        <v>0</v>
      </c>
      <c r="AA29" s="14"/>
      <c r="AB29" s="12" t="str">
        <f>IFERROR([1]!RiskAssessment[[#This Row],[Post-Treatment Likelihood]]*[1]!RiskAssessment[[#This Row],[Post- Treatment Impact]],"Calculated")</f>
        <v>Calculated</v>
      </c>
      <c r="AC29" s="12" t="str">
        <f t="shared" si="3"/>
        <v>Calculated</v>
      </c>
      <c r="AD29" s="14"/>
    </row>
    <row r="30" spans="2:30">
      <c r="B30" s="14">
        <v>17</v>
      </c>
      <c r="C30" s="14"/>
      <c r="D30" s="14"/>
      <c r="E30" s="14"/>
      <c r="F30" s="14"/>
      <c r="G30" s="14" t="s">
        <v>0</v>
      </c>
      <c r="H30" s="14"/>
      <c r="I30" s="14"/>
      <c r="J30" s="14" t="s">
        <v>0</v>
      </c>
      <c r="K30" s="14"/>
      <c r="L30" s="14" t="s">
        <v>0</v>
      </c>
      <c r="M30" s="14"/>
      <c r="N30" s="12" t="str">
        <f>IFERROR([1]!RiskAssessment[[#This Row],[Likelihood]]*[1]!RiskAssessment[[#This Row],[Impact]],"Calculated")</f>
        <v>Calculated</v>
      </c>
      <c r="O30" s="12" t="str">
        <f t="shared" si="2"/>
        <v>Calculated</v>
      </c>
      <c r="P30" s="14" t="s">
        <v>0</v>
      </c>
      <c r="Q30" s="14"/>
      <c r="R30" s="14"/>
      <c r="S30" s="96">
        <v>0</v>
      </c>
      <c r="T30" s="14"/>
      <c r="U30" s="14"/>
      <c r="V30" s="14"/>
      <c r="W30" s="14" t="s">
        <v>0</v>
      </c>
      <c r="X30" s="14" t="s">
        <v>0</v>
      </c>
      <c r="Y30" s="14"/>
      <c r="Z30" s="14" t="s">
        <v>0</v>
      </c>
      <c r="AA30" s="14"/>
      <c r="AB30" s="12" t="str">
        <f>IFERROR([1]!RiskAssessment[[#This Row],[Post-Treatment Likelihood]]*[1]!RiskAssessment[[#This Row],[Post- Treatment Impact]],"Calculated")</f>
        <v>Calculated</v>
      </c>
      <c r="AC30" s="12" t="str">
        <f t="shared" si="3"/>
        <v>Calculated</v>
      </c>
      <c r="AD30" s="14"/>
    </row>
    <row r="31" spans="2:30">
      <c r="B31" s="14">
        <v>18</v>
      </c>
      <c r="C31" s="14"/>
      <c r="D31" s="14"/>
      <c r="E31" s="14"/>
      <c r="F31" s="14"/>
      <c r="G31" s="14" t="s">
        <v>0</v>
      </c>
      <c r="H31" s="14"/>
      <c r="I31" s="14"/>
      <c r="J31" s="14" t="s">
        <v>0</v>
      </c>
      <c r="K31" s="14"/>
      <c r="L31" s="14" t="s">
        <v>0</v>
      </c>
      <c r="M31" s="14"/>
      <c r="N31" s="12" t="str">
        <f>IFERROR([1]!RiskAssessment[[#This Row],[Likelihood]]*[1]!RiskAssessment[[#This Row],[Impact]],"Calculated")</f>
        <v>Calculated</v>
      </c>
      <c r="O31" s="12" t="str">
        <f t="shared" si="2"/>
        <v>Calculated</v>
      </c>
      <c r="P31" s="14" t="s">
        <v>0</v>
      </c>
      <c r="Q31" s="14"/>
      <c r="R31" s="14"/>
      <c r="S31" s="96">
        <v>0</v>
      </c>
      <c r="T31" s="14"/>
      <c r="U31" s="14"/>
      <c r="V31" s="14"/>
      <c r="W31" s="14" t="s">
        <v>0</v>
      </c>
      <c r="X31" s="14" t="s">
        <v>0</v>
      </c>
      <c r="Y31" s="14"/>
      <c r="Z31" s="14" t="s">
        <v>0</v>
      </c>
      <c r="AA31" s="14"/>
      <c r="AB31" s="12" t="str">
        <f>IFERROR([1]!RiskAssessment[[#This Row],[Post-Treatment Likelihood]]*[1]!RiskAssessment[[#This Row],[Post- Treatment Impact]],"Calculated")</f>
        <v>Calculated</v>
      </c>
      <c r="AC31" s="12" t="str">
        <f t="shared" si="3"/>
        <v>Calculated</v>
      </c>
      <c r="AD31" s="14"/>
    </row>
    <row r="32" spans="2:30">
      <c r="B32" s="14">
        <v>19</v>
      </c>
      <c r="C32" s="14"/>
      <c r="D32" s="14"/>
      <c r="E32" s="14"/>
      <c r="F32" s="14"/>
      <c r="G32" s="14" t="s">
        <v>0</v>
      </c>
      <c r="H32" s="14"/>
      <c r="I32" s="14"/>
      <c r="J32" s="14" t="s">
        <v>0</v>
      </c>
      <c r="K32" s="14"/>
      <c r="L32" s="14" t="s">
        <v>0</v>
      </c>
      <c r="M32" s="14"/>
      <c r="N32" s="12" t="str">
        <f>IFERROR([1]!RiskAssessment[[#This Row],[Likelihood]]*[1]!RiskAssessment[[#This Row],[Impact]],"Calculated")</f>
        <v>Calculated</v>
      </c>
      <c r="O32" s="12" t="str">
        <f t="shared" si="2"/>
        <v>Calculated</v>
      </c>
      <c r="P32" s="14" t="s">
        <v>0</v>
      </c>
      <c r="Q32" s="14"/>
      <c r="R32" s="14"/>
      <c r="S32" s="96">
        <v>0</v>
      </c>
      <c r="T32" s="14"/>
      <c r="U32" s="14"/>
      <c r="V32" s="14"/>
      <c r="W32" s="14" t="s">
        <v>0</v>
      </c>
      <c r="X32" s="14" t="s">
        <v>0</v>
      </c>
      <c r="Y32" s="14"/>
      <c r="Z32" s="14" t="s">
        <v>0</v>
      </c>
      <c r="AA32" s="14"/>
      <c r="AB32" s="12" t="str">
        <f>IFERROR([1]!RiskAssessment[[#This Row],[Post-Treatment Likelihood]]*[1]!RiskAssessment[[#This Row],[Post- Treatment Impact]],"Calculated")</f>
        <v>Calculated</v>
      </c>
      <c r="AC32" s="12" t="str">
        <f t="shared" si="3"/>
        <v>Calculated</v>
      </c>
      <c r="AD32" s="14"/>
    </row>
    <row r="33" spans="2:30">
      <c r="B33" s="14">
        <v>20</v>
      </c>
      <c r="C33" s="14"/>
      <c r="D33" s="14"/>
      <c r="E33" s="14"/>
      <c r="F33" s="14"/>
      <c r="G33" s="14" t="s">
        <v>0</v>
      </c>
      <c r="H33" s="14"/>
      <c r="I33" s="14"/>
      <c r="J33" s="14" t="s">
        <v>0</v>
      </c>
      <c r="K33" s="14"/>
      <c r="L33" s="14" t="s">
        <v>0</v>
      </c>
      <c r="M33" s="14"/>
      <c r="N33" s="12" t="str">
        <f>IFERROR([1]!RiskAssessment[[#This Row],[Likelihood]]*[1]!RiskAssessment[[#This Row],[Impact]],"Calculated")</f>
        <v>Calculated</v>
      </c>
      <c r="O33" s="12" t="str">
        <f t="shared" si="2"/>
        <v>Calculated</v>
      </c>
      <c r="P33" s="14" t="s">
        <v>0</v>
      </c>
      <c r="Q33" s="14"/>
      <c r="R33" s="14"/>
      <c r="S33" s="96">
        <v>0</v>
      </c>
      <c r="T33" s="14"/>
      <c r="U33" s="14"/>
      <c r="V33" s="14"/>
      <c r="W33" s="14" t="s">
        <v>0</v>
      </c>
      <c r="X33" s="14" t="s">
        <v>0</v>
      </c>
      <c r="Y33" s="14"/>
      <c r="Z33" s="14" t="s">
        <v>0</v>
      </c>
      <c r="AA33" s="14"/>
      <c r="AB33" s="12" t="str">
        <f>IFERROR([1]!RiskAssessment[[#This Row],[Post-Treatment Likelihood]]*[1]!RiskAssessment[[#This Row],[Post- Treatment Impact]],"Calculated")</f>
        <v>Calculated</v>
      </c>
      <c r="AC33" s="12" t="str">
        <f t="shared" si="3"/>
        <v>Calculated</v>
      </c>
      <c r="AD33" s="14"/>
    </row>
  </sheetData>
  <sheetProtection selectLockedCells="1" autoFilter="0"/>
  <mergeCells count="4">
    <mergeCell ref="B12:H12"/>
    <mergeCell ref="I12:O12"/>
    <mergeCell ref="P12:W12"/>
    <mergeCell ref="X12:AD12"/>
  </mergeCells>
  <conditionalFormatting sqref="O14:O16 AC14:AC16 AC28:AC33 O28:O33">
    <cfRule type="cellIs" dxfId="163" priority="49" operator="equal">
      <formula>" HIGH"</formula>
    </cfRule>
    <cfRule type="cellIs" dxfId="162" priority="50" operator="equal">
      <formula>" MEDIUM"</formula>
    </cfRule>
    <cfRule type="cellIs" dxfId="161" priority="51" operator="equal">
      <formula>" LOW"</formula>
    </cfRule>
  </conditionalFormatting>
  <conditionalFormatting sqref="Q14:AB16 Q28:AB33">
    <cfRule type="expression" dxfId="160" priority="12">
      <formula>$P14="Accept"</formula>
    </cfRule>
  </conditionalFormatting>
  <conditionalFormatting sqref="Q17:AB27">
    <cfRule type="expression" dxfId="159" priority="1">
      <formula>$P17="Accept"</formula>
    </cfRule>
  </conditionalFormatting>
  <conditionalFormatting sqref="O17:O27 AC17:AC27">
    <cfRule type="cellIs" dxfId="158" priority="2" operator="equal">
      <formula>" HIGH"</formula>
    </cfRule>
    <cfRule type="cellIs" dxfId="157" priority="3" operator="equal">
      <formula>" MEDIUM"</formula>
    </cfRule>
    <cfRule type="cellIs" dxfId="156" priority="4" operator="equal">
      <formula>" LOW"</formula>
    </cfRule>
  </conditionalFormatting>
  <pageMargins left="0.70866141732283472" right="0.70866141732283472" top="0.74803149606299213" bottom="0.74803149606299213" header="0.31496062992125984" footer="0.31496062992125984"/>
  <pageSetup paperSize="9" scale="25" fitToHeight="0" orientation="landscape" horizontalDpi="360" verticalDpi="360" r:id="rId1"/>
  <headerFooter>
    <oddFooter>&amp;L&amp;D&amp;CPage &amp;P of &amp;N&amp;R[Insert classification]</oddFooter>
  </headerFooter>
  <colBreaks count="2" manualBreakCount="2">
    <brk id="15" max="1048575" man="1"/>
    <brk id="23" max="1048575" man="1"/>
  </colBreaks>
  <drawing r:id="rId2"/>
  <legacyDrawing r:id="rId3"/>
  <tableParts count="1">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90F55BBA-50DB-46BC-A873-B32D17F560EC}">
          <x14:formula1>
            <xm:f>'Selection Tables'!$B$16:$B$23</xm:f>
          </x14:formula1>
          <xm:sqref>G14:G33</xm:sqref>
        </x14:dataValidation>
        <x14:dataValidation type="list" allowBlank="1" showInputMessage="1" showErrorMessage="1" xr:uid="{AA71F27B-BEEA-44C0-9EFD-D27E865F40A9}">
          <x14:formula1>
            <xm:f>'Selection Tables'!$B$7:$B$12</xm:f>
          </x14:formula1>
          <xm:sqref>L14:L33 J14:J33 X14:X33 Z14:Z33</xm:sqref>
        </x14:dataValidation>
        <x14:dataValidation type="list" allowBlank="1" showInputMessage="1" showErrorMessage="1" promptTitle="If Choosing Accept" prompt="If choosing to Accept the risk, please ensure that the post-treatment likelihood and impact are set to pre-treatment values." xr:uid="{9360A65B-F868-4364-A0FC-AEB79C1623C4}">
          <x14:formula1>
            <xm:f>'Selection Tables'!$E$7:$E$11</xm:f>
          </x14:formula1>
          <xm:sqref>P14:P33</xm:sqref>
        </x14:dataValidation>
        <x14:dataValidation type="list" allowBlank="1" showInputMessage="1" showErrorMessage="1" xr:uid="{C7CE1ACB-5AD7-46D5-8264-7DB95B01EF21}">
          <x14:formula1>
            <xm:f>'Selection Tables'!$E$16:$E$20</xm:f>
          </x14:formula1>
          <xm:sqref>W14:W33</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FBC7-2B96-4ADE-AC5A-339294D04541}">
  <sheetPr codeName="Sheet4">
    <pageSetUpPr fitToPage="1"/>
  </sheetPr>
  <dimension ref="B6:AI72"/>
  <sheetViews>
    <sheetView showGridLines="0" zoomScaleNormal="100" workbookViewId="0">
      <selection activeCell="D190" sqref="D190"/>
    </sheetView>
  </sheetViews>
  <sheetFormatPr defaultRowHeight="14.4"/>
  <cols>
    <col min="1" max="1" width="2.88671875" customWidth="1"/>
    <col min="2" max="2" width="7.6640625" customWidth="1"/>
    <col min="3" max="8" width="13.6640625" customWidth="1"/>
    <col min="9" max="11" width="8.6640625" customWidth="1"/>
    <col min="12" max="12" width="7.6640625" customWidth="1"/>
    <col min="13" max="26" width="8.6640625" customWidth="1"/>
  </cols>
  <sheetData>
    <row r="6" spans="2:35" ht="79.2" customHeight="1"/>
    <row r="8" spans="2:35" ht="21">
      <c r="B8" s="27" t="s">
        <v>704</v>
      </c>
      <c r="AA8" s="44"/>
      <c r="AB8" s="44"/>
      <c r="AC8" s="44"/>
      <c r="AD8" s="44"/>
      <c r="AE8" s="44"/>
      <c r="AF8" s="44"/>
      <c r="AG8" s="44"/>
      <c r="AH8" s="44"/>
      <c r="AI8" s="44"/>
    </row>
    <row r="9" spans="2:35" ht="15" customHeight="1">
      <c r="B9" s="9" t="s">
        <v>251</v>
      </c>
    </row>
    <row r="11" spans="2:35" ht="20.100000000000001" customHeight="1">
      <c r="B11" s="45" t="s">
        <v>219</v>
      </c>
      <c r="C11" s="46"/>
      <c r="D11" s="46"/>
      <c r="E11" s="46"/>
      <c r="F11" s="46"/>
      <c r="G11" s="46"/>
      <c r="H11" s="46"/>
      <c r="I11" s="47"/>
      <c r="J11" s="47"/>
      <c r="K11" s="47"/>
      <c r="L11" s="47"/>
      <c r="M11" s="46"/>
      <c r="N11" s="46"/>
      <c r="O11" s="46"/>
      <c r="P11" s="46"/>
      <c r="Q11" s="46"/>
      <c r="R11" s="46"/>
      <c r="S11" s="46"/>
      <c r="T11" s="46"/>
      <c r="U11" s="46"/>
      <c r="V11" s="46"/>
      <c r="W11" s="46"/>
      <c r="X11" s="46"/>
      <c r="Y11" s="46"/>
      <c r="Z11" s="46"/>
      <c r="AE11" s="44"/>
      <c r="AF11" s="44"/>
      <c r="AG11" s="44"/>
      <c r="AH11" s="44"/>
      <c r="AI11" s="44"/>
    </row>
    <row r="12" spans="2:35" ht="15" customHeight="1">
      <c r="I12" s="2"/>
      <c r="J12" s="2"/>
      <c r="K12" s="2"/>
      <c r="L12" s="2"/>
      <c r="M12" s="3"/>
      <c r="N12" s="3"/>
      <c r="O12" s="3"/>
    </row>
    <row r="13" spans="2:35" ht="15" customHeight="1">
      <c r="I13" s="2"/>
      <c r="J13" s="2"/>
      <c r="K13" s="2"/>
      <c r="L13" s="2"/>
    </row>
    <row r="14" spans="2:35" ht="15" customHeight="1">
      <c r="I14" s="2"/>
      <c r="J14" s="2"/>
      <c r="K14" s="2"/>
      <c r="L14" s="2"/>
    </row>
    <row r="15" spans="2:35" ht="15" customHeight="1">
      <c r="I15" s="2"/>
      <c r="J15" s="2"/>
      <c r="K15" s="2"/>
      <c r="L15" s="2"/>
    </row>
    <row r="16" spans="2:35" ht="15" customHeight="1">
      <c r="I16" s="2"/>
      <c r="J16" s="2"/>
      <c r="K16" s="2"/>
      <c r="L16" s="2"/>
    </row>
    <row r="17" spans="9:12" ht="15" customHeight="1">
      <c r="I17" s="2"/>
      <c r="J17" s="2"/>
      <c r="K17" s="2"/>
      <c r="L17" s="2"/>
    </row>
    <row r="18" spans="9:12" ht="15" customHeight="1">
      <c r="I18" s="2"/>
      <c r="J18" s="2"/>
      <c r="K18" s="2"/>
      <c r="L18" s="2"/>
    </row>
    <row r="19" spans="9:12" ht="15" customHeight="1">
      <c r="I19" s="2"/>
      <c r="J19" s="2"/>
      <c r="K19" s="2"/>
      <c r="L19" s="2"/>
    </row>
    <row r="20" spans="9:12" ht="15" customHeight="1">
      <c r="I20" s="2"/>
      <c r="J20" s="2"/>
      <c r="K20" s="2"/>
      <c r="L20" s="2"/>
    </row>
    <row r="21" spans="9:12" ht="15" customHeight="1">
      <c r="I21" s="2"/>
      <c r="J21" s="2"/>
      <c r="K21" s="2"/>
      <c r="L21" s="2"/>
    </row>
    <row r="22" spans="9:12" ht="15" customHeight="1">
      <c r="I22" s="2"/>
      <c r="J22" s="2"/>
      <c r="K22" s="2"/>
      <c r="L22" s="2"/>
    </row>
    <row r="23" spans="9:12" ht="15" customHeight="1">
      <c r="I23" s="2"/>
      <c r="J23" s="2"/>
      <c r="K23" s="2"/>
      <c r="L23" s="2"/>
    </row>
    <row r="24" spans="9:12" ht="15" customHeight="1">
      <c r="I24" s="2"/>
      <c r="J24" s="2"/>
      <c r="K24" s="2"/>
      <c r="L24" s="2"/>
    </row>
    <row r="25" spans="9:12" ht="15" customHeight="1">
      <c r="I25" s="2"/>
      <c r="J25" s="2"/>
      <c r="K25" s="2"/>
      <c r="L25" s="2"/>
    </row>
    <row r="26" spans="9:12" ht="15" customHeight="1">
      <c r="I26" s="2"/>
      <c r="J26" s="2"/>
      <c r="K26" s="2"/>
      <c r="L26" s="2"/>
    </row>
    <row r="27" spans="9:12" ht="15" customHeight="1">
      <c r="I27" s="2"/>
      <c r="J27" s="2"/>
      <c r="K27" s="2"/>
      <c r="L27" s="2"/>
    </row>
    <row r="28" spans="9:12" ht="15" customHeight="1">
      <c r="I28" s="2"/>
      <c r="J28" s="2"/>
      <c r="K28" s="2"/>
      <c r="L28" s="2"/>
    </row>
    <row r="29" spans="9:12" ht="15" customHeight="1">
      <c r="I29" s="2"/>
      <c r="J29" s="2"/>
      <c r="K29" s="2"/>
      <c r="L29" s="2"/>
    </row>
    <row r="30" spans="9:12" ht="15" customHeight="1">
      <c r="I30" s="2"/>
      <c r="J30" s="2"/>
      <c r="K30" s="2"/>
      <c r="L30" s="2"/>
    </row>
    <row r="31" spans="9:12" ht="15" customHeight="1">
      <c r="I31" s="2"/>
      <c r="J31" s="2"/>
      <c r="K31" s="2"/>
      <c r="L31" s="2"/>
    </row>
    <row r="32" spans="9:12" ht="15" customHeight="1">
      <c r="I32" s="2"/>
      <c r="J32" s="2"/>
      <c r="K32" s="2"/>
      <c r="L32" s="2"/>
    </row>
    <row r="33" spans="2:26" ht="15" customHeight="1">
      <c r="I33" s="2"/>
      <c r="J33" s="2"/>
      <c r="K33" s="2"/>
      <c r="L33" s="2"/>
    </row>
    <row r="34" spans="2:26" ht="18">
      <c r="B34" s="45" t="s">
        <v>220</v>
      </c>
      <c r="C34" s="46"/>
      <c r="D34" s="46"/>
      <c r="E34" s="43"/>
      <c r="F34" s="43"/>
      <c r="G34" s="43"/>
      <c r="H34" s="43"/>
      <c r="I34" s="43"/>
      <c r="J34" s="43"/>
      <c r="K34" s="43"/>
      <c r="L34" s="43"/>
      <c r="M34" s="43"/>
      <c r="N34" s="43"/>
      <c r="O34" s="46"/>
      <c r="P34" s="46"/>
      <c r="Q34" s="46"/>
      <c r="R34" s="46"/>
      <c r="S34" s="46"/>
      <c r="T34" s="46"/>
      <c r="U34" s="46"/>
      <c r="V34" s="46"/>
      <c r="W34" s="46"/>
      <c r="X34" s="46"/>
      <c r="Y34" s="46"/>
      <c r="Z34" s="46"/>
    </row>
    <row r="35" spans="2:26" ht="15" customHeight="1">
      <c r="I35" s="2"/>
      <c r="J35" s="2"/>
      <c r="K35" s="2"/>
      <c r="L35" s="2"/>
    </row>
    <row r="36" spans="2:26" ht="15" customHeight="1">
      <c r="I36" s="2"/>
      <c r="J36" s="2"/>
      <c r="K36" s="2"/>
      <c r="L36" s="2"/>
    </row>
    <row r="37" spans="2:26" ht="15" customHeight="1">
      <c r="I37" s="2"/>
      <c r="J37" s="2"/>
      <c r="K37" s="2"/>
      <c r="L37" s="2"/>
    </row>
    <row r="38" spans="2:26" ht="15" customHeight="1">
      <c r="I38" s="2"/>
      <c r="J38" s="2"/>
      <c r="K38" s="2"/>
      <c r="L38" s="2"/>
    </row>
    <row r="39" spans="2:26" ht="15" customHeight="1">
      <c r="I39" s="2"/>
      <c r="J39" s="2"/>
      <c r="K39" s="2"/>
      <c r="L39" s="2"/>
    </row>
    <row r="40" spans="2:26" ht="15" customHeight="1">
      <c r="I40" s="2"/>
      <c r="J40" s="2"/>
      <c r="K40" s="2"/>
      <c r="L40" s="2"/>
    </row>
    <row r="41" spans="2:26" ht="15" customHeight="1">
      <c r="I41" s="2"/>
      <c r="J41" s="2"/>
      <c r="K41" s="2"/>
      <c r="L41" s="2"/>
    </row>
    <row r="42" spans="2:26" ht="15" customHeight="1">
      <c r="I42" s="2"/>
      <c r="J42" s="2"/>
      <c r="K42" s="2"/>
      <c r="L42" s="2"/>
    </row>
    <row r="43" spans="2:26" ht="15" customHeight="1">
      <c r="I43" s="2"/>
      <c r="J43" s="2"/>
      <c r="K43" s="2"/>
      <c r="L43" s="2"/>
    </row>
    <row r="44" spans="2:26" ht="15" customHeight="1">
      <c r="I44" s="2"/>
      <c r="J44" s="2"/>
      <c r="K44" s="2"/>
      <c r="L44" s="2"/>
    </row>
    <row r="45" spans="2:26" ht="15" customHeight="1">
      <c r="I45" s="2"/>
      <c r="J45" s="2"/>
      <c r="K45" s="2"/>
      <c r="L45" s="2"/>
    </row>
    <row r="46" spans="2:26" ht="15" customHeight="1">
      <c r="I46" s="2"/>
      <c r="J46" s="2"/>
      <c r="K46" s="2"/>
      <c r="L46" s="2"/>
    </row>
    <row r="47" spans="2:26" ht="15" customHeight="1">
      <c r="I47" s="2"/>
      <c r="J47" s="2"/>
      <c r="K47" s="2"/>
      <c r="L47" s="2"/>
    </row>
    <row r="48" spans="2:26" ht="15" customHeight="1">
      <c r="I48" s="2"/>
      <c r="J48" s="2"/>
      <c r="K48" s="2"/>
      <c r="L48" s="2"/>
    </row>
    <row r="49" spans="2:26" ht="15" customHeight="1">
      <c r="I49" s="2"/>
      <c r="J49" s="2"/>
      <c r="K49" s="2"/>
      <c r="L49" s="2"/>
    </row>
    <row r="50" spans="2:26" ht="15" customHeight="1">
      <c r="I50" s="2"/>
      <c r="J50" s="2"/>
      <c r="K50" s="2"/>
      <c r="L50" s="2"/>
    </row>
    <row r="51" spans="2:26" ht="15" customHeight="1">
      <c r="I51" s="2"/>
      <c r="J51" s="2"/>
      <c r="K51" s="2"/>
      <c r="L51" s="2"/>
    </row>
    <row r="52" spans="2:26" ht="15" customHeight="1">
      <c r="I52" s="2"/>
      <c r="J52" s="2"/>
      <c r="K52" s="2"/>
      <c r="L52" s="2"/>
    </row>
    <row r="53" spans="2:26" ht="15" customHeight="1">
      <c r="I53" s="2"/>
      <c r="J53" s="2"/>
      <c r="K53" s="2"/>
      <c r="L53" s="2"/>
    </row>
    <row r="54" spans="2:26" ht="15" customHeight="1">
      <c r="I54" s="2"/>
      <c r="J54" s="2"/>
      <c r="K54" s="2"/>
      <c r="L54" s="2"/>
    </row>
    <row r="55" spans="2:26" ht="15" customHeight="1">
      <c r="B55" s="48"/>
      <c r="I55" s="2"/>
      <c r="J55" s="2"/>
      <c r="K55" s="2"/>
      <c r="L55" s="2"/>
    </row>
    <row r="57" spans="2:26" ht="18">
      <c r="B57" s="49" t="s">
        <v>254</v>
      </c>
      <c r="C57" s="43"/>
      <c r="D57" s="43"/>
      <c r="E57" s="43"/>
      <c r="F57" s="43"/>
      <c r="G57" s="43"/>
      <c r="H57" s="43"/>
      <c r="I57" s="46"/>
      <c r="J57" s="46"/>
      <c r="K57" s="46"/>
      <c r="M57" s="45" t="s">
        <v>221</v>
      </c>
      <c r="N57" s="43"/>
      <c r="O57" s="43"/>
      <c r="P57" s="43"/>
      <c r="Q57" s="43"/>
      <c r="R57" s="43"/>
      <c r="S57" s="43"/>
      <c r="T57" s="43"/>
      <c r="U57" s="43"/>
      <c r="V57" s="43"/>
      <c r="W57" s="43"/>
      <c r="X57" s="43"/>
      <c r="Y57" s="43"/>
      <c r="Z57" s="43"/>
    </row>
    <row r="58" spans="2:26" ht="18">
      <c r="B58" s="50"/>
      <c r="C58" s="44"/>
      <c r="D58" s="44"/>
      <c r="E58" s="44"/>
      <c r="F58" s="44"/>
      <c r="G58" s="44"/>
      <c r="H58" s="44"/>
    </row>
    <row r="59" spans="2:26">
      <c r="B59" s="11" t="s">
        <v>60</v>
      </c>
      <c r="M59" s="11" t="s">
        <v>222</v>
      </c>
    </row>
    <row r="60" spans="2:26">
      <c r="B60" s="116" t="s">
        <v>253</v>
      </c>
      <c r="G60" s="51"/>
      <c r="H60" s="51"/>
    </row>
    <row r="61" spans="2:26" ht="38.1" customHeight="1" thickBot="1">
      <c r="B61" s="116"/>
      <c r="C61" s="117" t="s">
        <v>252</v>
      </c>
      <c r="D61" s="117"/>
      <c r="E61" s="117"/>
      <c r="F61" s="117"/>
      <c r="G61" s="117"/>
      <c r="H61" s="117"/>
      <c r="M61" s="10" t="s">
        <v>223</v>
      </c>
      <c r="U61" s="10" t="s">
        <v>224</v>
      </c>
    </row>
    <row r="62" spans="2:26" ht="48" customHeight="1" thickTop="1" thickBot="1">
      <c r="B62" s="116"/>
      <c r="C62" s="52"/>
      <c r="D62" s="53" t="s">
        <v>225</v>
      </c>
      <c r="E62" s="53" t="s">
        <v>226</v>
      </c>
      <c r="F62" s="53" t="s">
        <v>227</v>
      </c>
      <c r="G62" s="53" t="s">
        <v>228</v>
      </c>
      <c r="H62" s="53" t="s">
        <v>229</v>
      </c>
      <c r="L62" s="118" t="s">
        <v>183</v>
      </c>
      <c r="M62" s="54">
        <v>5</v>
      </c>
      <c r="N62" s="55" cm="1">
        <f t="array" ref="N62">SUMPRODUCT((RiskAssessment[Likelihood]=$M62)*(RiskAssessment[Impact]=N$67))</f>
        <v>0</v>
      </c>
      <c r="O62" s="55" cm="1">
        <f t="array" ref="O62">SUMPRODUCT((RiskAssessment[Likelihood]=$M62)*(RiskAssessment[Impact]=O$67))</f>
        <v>0</v>
      </c>
      <c r="P62" s="56" cm="1">
        <f t="array" ref="P62">SUMPRODUCT((RiskAssessment[Likelihood]=$M62)*(RiskAssessment[Impact]=P$67))</f>
        <v>1</v>
      </c>
      <c r="Q62" s="56" cm="1">
        <f t="array" ref="Q62">SUMPRODUCT((RiskAssessment[Likelihood]=$M62)*(RiskAssessment[Impact]=Q$67))</f>
        <v>1</v>
      </c>
      <c r="R62" s="56" cm="1">
        <f t="array" ref="R62">SUMPRODUCT((RiskAssessment[Likelihood]=$M62)*(RiskAssessment[Impact]=R$67))</f>
        <v>0</v>
      </c>
      <c r="S62" s="57"/>
      <c r="T62" s="118" t="s">
        <v>183</v>
      </c>
      <c r="U62" s="54">
        <v>5</v>
      </c>
      <c r="V62" s="55" cm="1">
        <f t="array" ref="V62">SUMPRODUCT((RiskAssessment[Post-Treatment Likelihood]=$U62)*(RiskAssessment[Post- Treatment Impact]=V$67))</f>
        <v>0</v>
      </c>
      <c r="W62" s="55" cm="1">
        <f t="array" ref="W62">SUMPRODUCT((RiskAssessment[Post-Treatment Likelihood]=$U62)*(RiskAssessment[Post- Treatment Impact]=W$67))</f>
        <v>0</v>
      </c>
      <c r="X62" s="56" cm="1">
        <f t="array" ref="X62">SUMPRODUCT((RiskAssessment[Post-Treatment Likelihood]=$U62)*(RiskAssessment[Post- Treatment Impact]=X$67))</f>
        <v>0</v>
      </c>
      <c r="Y62" s="56" cm="1">
        <f t="array" ref="Y62">SUMPRODUCT((RiskAssessment[Post-Treatment Likelihood]=$U62)*(RiskAssessment[Post- Treatment Impact]=Y$67))</f>
        <v>0</v>
      </c>
      <c r="Z62" s="56" cm="1">
        <f t="array" ref="Z62">SUMPRODUCT((RiskAssessment[Post-Treatment Likelihood]=$U62)*(RiskAssessment[Post- Treatment Impact]=Z$67))</f>
        <v>0</v>
      </c>
    </row>
    <row r="63" spans="2:26" ht="48" customHeight="1" thickTop="1" thickBot="1">
      <c r="B63" s="116"/>
      <c r="C63" s="53" t="s">
        <v>230</v>
      </c>
      <c r="D63" s="58" t="s">
        <v>231</v>
      </c>
      <c r="E63" s="58" t="s">
        <v>232</v>
      </c>
      <c r="F63" s="59" t="s">
        <v>233</v>
      </c>
      <c r="G63" s="59" t="s">
        <v>234</v>
      </c>
      <c r="H63" s="59" t="s">
        <v>235</v>
      </c>
      <c r="L63" s="118"/>
      <c r="M63" s="60">
        <v>4</v>
      </c>
      <c r="N63" s="61" cm="1">
        <f t="array" ref="N63">SUMPRODUCT((RiskAssessment[Likelihood]=$M63)*(RiskAssessment[Impact]=N$67))</f>
        <v>0</v>
      </c>
      <c r="O63" s="55" cm="1">
        <f t="array" ref="O63">SUMPRODUCT((RiskAssessment[Likelihood]=$M63)*(RiskAssessment[Impact]=O$67))</f>
        <v>0</v>
      </c>
      <c r="P63" s="56" cm="1">
        <f t="array" ref="P63">SUMPRODUCT((RiskAssessment[Likelihood]=$M63)*(RiskAssessment[Impact]=P$67))</f>
        <v>1</v>
      </c>
      <c r="Q63" s="56" cm="1">
        <f t="array" ref="Q63">SUMPRODUCT((RiskAssessment[Likelihood]=$M63)*(RiskAssessment[Impact]=Q$67))</f>
        <v>2</v>
      </c>
      <c r="R63" s="56" cm="1">
        <f t="array" ref="R63">SUMPRODUCT((RiskAssessment[Likelihood]=$M63)*(RiskAssessment[Impact]=R$67))</f>
        <v>0</v>
      </c>
      <c r="S63" s="57"/>
      <c r="T63" s="118"/>
      <c r="U63" s="60">
        <v>4</v>
      </c>
      <c r="V63" s="61" cm="1">
        <f t="array" ref="V63">SUMPRODUCT((RiskAssessment[Post-Treatment Likelihood]=$U63)*(RiskAssessment[Post- Treatment Impact]=V$67))</f>
        <v>0</v>
      </c>
      <c r="W63" s="55" cm="1">
        <f t="array" ref="W63">SUMPRODUCT((RiskAssessment[Post-Treatment Likelihood]=$U63)*(RiskAssessment[Post- Treatment Impact]=W$67))</f>
        <v>0</v>
      </c>
      <c r="X63" s="56" cm="1">
        <f t="array" ref="X63">SUMPRODUCT((RiskAssessment[Post-Treatment Likelihood]=$U63)*(RiskAssessment[Post- Treatment Impact]=X$67))</f>
        <v>0</v>
      </c>
      <c r="Y63" s="56" cm="1">
        <f t="array" ref="Y63">SUMPRODUCT((RiskAssessment[Post-Treatment Likelihood]=$U63)*(RiskAssessment[Post- Treatment Impact]=Y$67))</f>
        <v>0</v>
      </c>
      <c r="Z63" s="56" cm="1">
        <f t="array" ref="Z63">SUMPRODUCT((RiskAssessment[Post-Treatment Likelihood]=$U63)*(RiskAssessment[Post- Treatment Impact]=Z$67))</f>
        <v>0</v>
      </c>
    </row>
    <row r="64" spans="2:26" ht="48" customHeight="1" thickTop="1" thickBot="1">
      <c r="B64" s="116"/>
      <c r="C64" s="53" t="s">
        <v>236</v>
      </c>
      <c r="D64" s="62" t="s">
        <v>237</v>
      </c>
      <c r="E64" s="58" t="s">
        <v>238</v>
      </c>
      <c r="F64" s="59" t="s">
        <v>239</v>
      </c>
      <c r="G64" s="59" t="s">
        <v>240</v>
      </c>
      <c r="H64" s="59" t="s">
        <v>234</v>
      </c>
      <c r="L64" s="118"/>
      <c r="M64" s="60">
        <v>3</v>
      </c>
      <c r="N64" s="61" cm="1">
        <f t="array" ref="N64">SUMPRODUCT((RiskAssessment[Likelihood]=$M64)*(RiskAssessment[Impact]=N$67))</f>
        <v>0</v>
      </c>
      <c r="O64" s="55" cm="1">
        <f t="array" ref="O64">SUMPRODUCT((RiskAssessment[Likelihood]=$M64)*(RiskAssessment[Impact]=O$67))</f>
        <v>0</v>
      </c>
      <c r="P64" s="55" cm="1">
        <f t="array" ref="P64">SUMPRODUCT((RiskAssessment[Likelihood]=$M64)*(RiskAssessment[Impact]=P$67))</f>
        <v>0</v>
      </c>
      <c r="Q64" s="56" cm="1">
        <f t="array" ref="Q64">SUMPRODUCT((RiskAssessment[Likelihood]=$M64)*(RiskAssessment[Impact]=Q$67))</f>
        <v>6</v>
      </c>
      <c r="R64" s="56" cm="1">
        <f t="array" ref="R64">SUMPRODUCT((RiskAssessment[Likelihood]=$M64)*(RiskAssessment[Impact]=R$67))</f>
        <v>1</v>
      </c>
      <c r="S64" s="57"/>
      <c r="T64" s="118"/>
      <c r="U64" s="60">
        <v>3</v>
      </c>
      <c r="V64" s="61" cm="1">
        <f t="array" ref="V64">SUMPRODUCT((RiskAssessment[Post-Treatment Likelihood]=$U64)*(RiskAssessment[Post- Treatment Impact]=V$67))</f>
        <v>0</v>
      </c>
      <c r="W64" s="55" cm="1">
        <f t="array" ref="W64">SUMPRODUCT((RiskAssessment[Post-Treatment Likelihood]=$U64)*(RiskAssessment[Post- Treatment Impact]=W$67))</f>
        <v>1</v>
      </c>
      <c r="X64" s="55" cm="1">
        <f t="array" ref="X64">SUMPRODUCT((RiskAssessment[Post-Treatment Likelihood]=$U64)*(RiskAssessment[Post- Treatment Impact]=X$67))</f>
        <v>1</v>
      </c>
      <c r="Y64" s="56" cm="1">
        <f t="array" ref="Y64">SUMPRODUCT((RiskAssessment[Post-Treatment Likelihood]=$U64)*(RiskAssessment[Post- Treatment Impact]=Y$67))</f>
        <v>0</v>
      </c>
      <c r="Z64" s="56" cm="1">
        <f t="array" ref="Z64">SUMPRODUCT((RiskAssessment[Post-Treatment Likelihood]=$U64)*(RiskAssessment[Post- Treatment Impact]=Z$67))</f>
        <v>0</v>
      </c>
    </row>
    <row r="65" spans="2:26" ht="48" customHeight="1" thickTop="1" thickBot="1">
      <c r="B65" s="116"/>
      <c r="C65" s="53" t="s">
        <v>241</v>
      </c>
      <c r="D65" s="62" t="s">
        <v>242</v>
      </c>
      <c r="E65" s="58" t="s">
        <v>243</v>
      </c>
      <c r="F65" s="58" t="s">
        <v>244</v>
      </c>
      <c r="G65" s="59" t="s">
        <v>239</v>
      </c>
      <c r="H65" s="59" t="s">
        <v>233</v>
      </c>
      <c r="L65" s="118"/>
      <c r="M65" s="60">
        <v>2</v>
      </c>
      <c r="N65" s="61" cm="1">
        <f t="array" ref="N65">SUMPRODUCT((RiskAssessment[Likelihood]=$M65)*(RiskAssessment[Impact]=N$67))</f>
        <v>0</v>
      </c>
      <c r="O65" s="61" cm="1">
        <f t="array" ref="O65">SUMPRODUCT((RiskAssessment[Likelihood]=$M65)*(RiskAssessment[Impact]=O$67))</f>
        <v>0</v>
      </c>
      <c r="P65" s="55" cm="1">
        <f t="array" ref="P65">SUMPRODUCT((RiskAssessment[Likelihood]=$M65)*(RiskAssessment[Impact]=P$67))</f>
        <v>1</v>
      </c>
      <c r="Q65" s="55" cm="1">
        <f t="array" ref="Q65">SUMPRODUCT((RiskAssessment[Likelihood]=$M65)*(RiskAssessment[Impact]=Q$67))</f>
        <v>0</v>
      </c>
      <c r="R65" s="55" cm="1">
        <f t="array" ref="R65">SUMPRODUCT((RiskAssessment[Likelihood]=$M65)*(RiskAssessment[Impact]=R$67))</f>
        <v>1</v>
      </c>
      <c r="S65" s="57"/>
      <c r="T65" s="118"/>
      <c r="U65" s="60">
        <v>2</v>
      </c>
      <c r="V65" s="61" cm="1">
        <f t="array" ref="V65">SUMPRODUCT((RiskAssessment[Post-Treatment Likelihood]=$U65)*(RiskAssessment[Post- Treatment Impact]=V$67))</f>
        <v>0</v>
      </c>
      <c r="W65" s="61" cm="1">
        <f t="array" ref="W65">SUMPRODUCT((RiskAssessment[Post-Treatment Likelihood]=$U65)*(RiskAssessment[Post- Treatment Impact]=W$67))</f>
        <v>0</v>
      </c>
      <c r="X65" s="55" cm="1">
        <f t="array" ref="X65">SUMPRODUCT((RiskAssessment[Post-Treatment Likelihood]=$U65)*(RiskAssessment[Post- Treatment Impact]=X$67))</f>
        <v>3</v>
      </c>
      <c r="Y65" s="55" cm="1">
        <f t="array" ref="Y65">SUMPRODUCT((RiskAssessment[Post-Treatment Likelihood]=$U65)*(RiskAssessment[Post- Treatment Impact]=Y$67))</f>
        <v>1</v>
      </c>
      <c r="Z65" s="55" cm="1">
        <f t="array" ref="Z65">SUMPRODUCT((RiskAssessment[Post-Treatment Likelihood]=$U65)*(RiskAssessment[Post- Treatment Impact]=Z$67))</f>
        <v>0</v>
      </c>
    </row>
    <row r="66" spans="2:26" ht="48" customHeight="1" thickTop="1" thickBot="1">
      <c r="B66" s="116"/>
      <c r="C66" s="53" t="s">
        <v>245</v>
      </c>
      <c r="D66" s="62" t="s">
        <v>246</v>
      </c>
      <c r="E66" s="62" t="s">
        <v>237</v>
      </c>
      <c r="F66" s="58" t="s">
        <v>243</v>
      </c>
      <c r="G66" s="58" t="s">
        <v>238</v>
      </c>
      <c r="H66" s="58" t="s">
        <v>232</v>
      </c>
      <c r="L66" s="118"/>
      <c r="M66" s="60">
        <v>1</v>
      </c>
      <c r="N66" s="61" cm="1">
        <f t="array" ref="N66">SUMPRODUCT((RiskAssessment[Likelihood]=$M66)*(RiskAssessment[Impact]=N$67))</f>
        <v>0</v>
      </c>
      <c r="O66" s="61" cm="1">
        <f t="array" ref="O66">SUMPRODUCT((RiskAssessment[Likelihood]=$M66)*(RiskAssessment[Impact]=O$67))</f>
        <v>0</v>
      </c>
      <c r="P66" s="61" cm="1">
        <f t="array" ref="P66">SUMPRODUCT((RiskAssessment[Likelihood]=$M66)*(RiskAssessment[Impact]=P$67))</f>
        <v>0</v>
      </c>
      <c r="Q66" s="61" cm="1">
        <f t="array" ref="Q66">SUMPRODUCT((RiskAssessment[Likelihood]=$M66)*(RiskAssessment[Impact]=Q$67))</f>
        <v>0</v>
      </c>
      <c r="R66" s="55" cm="1">
        <f t="array" ref="R66">SUMPRODUCT((RiskAssessment[Likelihood]=$M66)*(RiskAssessment[Impact]=R$67))</f>
        <v>0</v>
      </c>
      <c r="S66" s="57"/>
      <c r="T66" s="118"/>
      <c r="U66" s="60">
        <v>1</v>
      </c>
      <c r="V66" s="61" cm="1">
        <f t="array" ref="V66">SUMPRODUCT((RiskAssessment[Post-Treatment Likelihood]=$U66)*(RiskAssessment[Post- Treatment Impact]=V$67))</f>
        <v>0</v>
      </c>
      <c r="W66" s="61" cm="1">
        <f t="array" ref="W66">SUMPRODUCT((RiskAssessment[Post-Treatment Likelihood]=$U66)*(RiskAssessment[Post- Treatment Impact]=W$67))</f>
        <v>4</v>
      </c>
      <c r="X66" s="61" cm="1">
        <f t="array" ref="X66">SUMPRODUCT((RiskAssessment[Post-Treatment Likelihood]=$U66)*(RiskAssessment[Post- Treatment Impact]=X$67))</f>
        <v>3</v>
      </c>
      <c r="Y66" s="61" cm="1">
        <f t="array" ref="Y66">SUMPRODUCT((RiskAssessment[Post-Treatment Likelihood]=$U66)*(RiskAssessment[Post- Treatment Impact]=Y$67))</f>
        <v>1</v>
      </c>
      <c r="Z66" s="55" cm="1">
        <f t="array" ref="Z66">SUMPRODUCT((RiskAssessment[Post-Treatment Likelihood]=$U66)*(RiskAssessment[Post- Treatment Impact]=Z$67))</f>
        <v>0</v>
      </c>
    </row>
    <row r="67" spans="2:26" ht="48" customHeight="1" thickTop="1" thickBot="1">
      <c r="B67" s="116"/>
      <c r="C67" s="53" t="s">
        <v>247</v>
      </c>
      <c r="D67" s="62" t="s">
        <v>248</v>
      </c>
      <c r="E67" s="62" t="s">
        <v>246</v>
      </c>
      <c r="F67" s="62" t="s">
        <v>242</v>
      </c>
      <c r="G67" s="62" t="s">
        <v>237</v>
      </c>
      <c r="H67" s="58" t="s">
        <v>231</v>
      </c>
      <c r="L67" s="118"/>
      <c r="M67" s="63"/>
      <c r="N67" s="64">
        <v>1</v>
      </c>
      <c r="O67" s="64">
        <v>2</v>
      </c>
      <c r="P67" s="64">
        <v>3</v>
      </c>
      <c r="Q67" s="64">
        <v>4</v>
      </c>
      <c r="R67" s="65">
        <v>5</v>
      </c>
      <c r="S67" s="57"/>
      <c r="T67" s="118"/>
      <c r="U67" s="63"/>
      <c r="V67" s="64">
        <v>1</v>
      </c>
      <c r="W67" s="64">
        <v>2</v>
      </c>
      <c r="X67" s="64">
        <v>3</v>
      </c>
      <c r="Y67" s="64">
        <v>4</v>
      </c>
      <c r="Z67" s="65">
        <v>5</v>
      </c>
    </row>
    <row r="68" spans="2:26" ht="32.25" customHeight="1" thickTop="1">
      <c r="M68" s="115" t="s">
        <v>249</v>
      </c>
      <c r="N68" s="115"/>
      <c r="O68" s="115"/>
      <c r="P68" s="115"/>
      <c r="Q68" s="115"/>
      <c r="R68" s="115"/>
      <c r="S68" s="66"/>
      <c r="U68" s="115" t="s">
        <v>249</v>
      </c>
      <c r="V68" s="115"/>
      <c r="W68" s="115"/>
      <c r="X68" s="115"/>
      <c r="Y68" s="115"/>
      <c r="Z68" s="115"/>
    </row>
    <row r="70" spans="2:26" ht="15" customHeight="1">
      <c r="B70" s="48"/>
      <c r="I70" s="2"/>
      <c r="J70" s="2"/>
      <c r="K70" s="2"/>
      <c r="L70" s="2"/>
    </row>
    <row r="71" spans="2:26" ht="15" customHeight="1">
      <c r="B71" s="48"/>
      <c r="I71" s="3"/>
      <c r="J71" s="3"/>
      <c r="K71" s="3"/>
      <c r="L71" s="3"/>
      <c r="M71" s="3"/>
      <c r="N71" s="3"/>
      <c r="O71" s="3"/>
    </row>
    <row r="72" spans="2:26" ht="18">
      <c r="B72" s="45" t="s">
        <v>250</v>
      </c>
      <c r="C72" s="43"/>
      <c r="D72" s="43"/>
      <c r="E72" s="43"/>
      <c r="F72" s="43"/>
      <c r="G72" s="43"/>
      <c r="H72" s="43"/>
      <c r="I72" s="43"/>
      <c r="J72" s="43"/>
      <c r="K72" s="43"/>
      <c r="L72" s="43"/>
      <c r="M72" s="43"/>
      <c r="N72" s="43"/>
      <c r="O72" s="43"/>
      <c r="P72" s="43"/>
      <c r="Q72" s="43"/>
      <c r="R72" s="43"/>
      <c r="S72" s="43"/>
      <c r="T72" s="43"/>
      <c r="U72" s="43"/>
      <c r="V72" s="43"/>
      <c r="W72" s="46"/>
      <c r="X72" s="46"/>
      <c r="Y72" s="46"/>
      <c r="Z72" s="46"/>
    </row>
  </sheetData>
  <mergeCells count="6">
    <mergeCell ref="U68:Z68"/>
    <mergeCell ref="B60:B67"/>
    <mergeCell ref="C61:H61"/>
    <mergeCell ref="L62:L67"/>
    <mergeCell ref="T62:T67"/>
    <mergeCell ref="M68:R68"/>
  </mergeCells>
  <pageMargins left="0.23622047244094491" right="0.23622047244094491" top="0.39370078740157483" bottom="0.39370078740157483" header="0.19685039370078741" footer="0.19685039370078741"/>
  <pageSetup paperSize="9" scale="34"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2991-28B9-4CBE-BB78-BA0E12EC3B79}">
  <sheetPr codeName="Sheet5"/>
  <dimension ref="B4:C15"/>
  <sheetViews>
    <sheetView showGridLines="0" workbookViewId="0"/>
  </sheetViews>
  <sheetFormatPr defaultRowHeight="14.4"/>
  <cols>
    <col min="1" max="1" width="2.88671875" customWidth="1"/>
    <col min="2" max="2" width="11.6640625" bestFit="1" customWidth="1"/>
    <col min="3" max="3" width="14.33203125" bestFit="1" customWidth="1"/>
  </cols>
  <sheetData>
    <row r="4" spans="2:3" ht="18">
      <c r="B4" s="23" t="s">
        <v>258</v>
      </c>
    </row>
    <row r="5" spans="2:3" ht="18">
      <c r="B5" s="23"/>
    </row>
    <row r="6" spans="2:3">
      <c r="B6" s="71" t="s">
        <v>6</v>
      </c>
      <c r="C6" s="71" t="s">
        <v>223</v>
      </c>
    </row>
    <row r="7" spans="2:3">
      <c r="B7" t="s">
        <v>61</v>
      </c>
      <c r="C7">
        <f>COUNTIF(RiskAssessment[Risk Level],PreTreatmentRisksByRiskLevel[[#This Row],[Risk level]])</f>
        <v>0</v>
      </c>
    </row>
    <row r="8" spans="2:3">
      <c r="B8" t="s">
        <v>62</v>
      </c>
      <c r="C8">
        <f>COUNTIF(RiskAssessment[Risk Level],PreTreatmentRisksByRiskLevel[[#This Row],[Risk level]])</f>
        <v>2</v>
      </c>
    </row>
    <row r="9" spans="2:3">
      <c r="B9" t="s">
        <v>63</v>
      </c>
      <c r="C9">
        <f>COUNTIF(RiskAssessment[Risk Level],PreTreatmentRisksByRiskLevel[[#This Row],[Risk level]])</f>
        <v>12</v>
      </c>
    </row>
    <row r="10" spans="2:3" ht="15" customHeight="1">
      <c r="B10" s="23"/>
    </row>
    <row r="11" spans="2:3" ht="15" customHeight="1">
      <c r="B11" s="23"/>
    </row>
    <row r="12" spans="2:3" ht="15" customHeight="1">
      <c r="B12" s="43" t="s">
        <v>6</v>
      </c>
      <c r="C12" s="43" t="s">
        <v>259</v>
      </c>
    </row>
    <row r="13" spans="2:3">
      <c r="B13" t="s">
        <v>61</v>
      </c>
      <c r="C13">
        <v>0</v>
      </c>
    </row>
    <row r="14" spans="2:3">
      <c r="B14" t="s">
        <v>62</v>
      </c>
      <c r="C14">
        <v>0</v>
      </c>
    </row>
    <row r="15" spans="2:3">
      <c r="B15" t="s">
        <v>63</v>
      </c>
      <c r="C15">
        <v>0</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1BAE-F024-45E0-AB98-91104AF917EE}">
  <sheetPr codeName="Sheet6"/>
  <dimension ref="B4:D7"/>
  <sheetViews>
    <sheetView showGridLines="0" workbookViewId="0"/>
  </sheetViews>
  <sheetFormatPr defaultRowHeight="14.4"/>
  <cols>
    <col min="1" max="1" width="2.88671875" customWidth="1"/>
    <col min="2" max="2" width="21" bestFit="1" customWidth="1"/>
    <col min="3" max="3" width="13.33203125" bestFit="1" customWidth="1"/>
    <col min="4" max="4" width="10.109375" bestFit="1" customWidth="1"/>
  </cols>
  <sheetData>
    <row r="4" spans="2:4" ht="18">
      <c r="B4" s="23" t="s">
        <v>260</v>
      </c>
    </row>
    <row r="6" spans="2:4">
      <c r="B6" s="43" t="s">
        <v>175</v>
      </c>
      <c r="C6" s="43" t="s">
        <v>3</v>
      </c>
      <c r="D6" s="43" t="s">
        <v>262</v>
      </c>
    </row>
    <row r="7" spans="2:4">
      <c r="B7" t="s">
        <v>599</v>
      </c>
      <c r="C7" t="s">
        <v>261</v>
      </c>
      <c r="D7">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8EA3-A53A-4148-954D-4118E6352401}">
  <sheetPr codeName="Sheet10"/>
  <dimension ref="B4:C15"/>
  <sheetViews>
    <sheetView showGridLines="0" workbookViewId="0"/>
  </sheetViews>
  <sheetFormatPr defaultRowHeight="14.4"/>
  <cols>
    <col min="1" max="1" width="2.88671875" customWidth="1"/>
    <col min="2" max="2" width="11.6640625" bestFit="1" customWidth="1"/>
    <col min="3" max="3" width="15.109375" bestFit="1" customWidth="1"/>
  </cols>
  <sheetData>
    <row r="4" spans="2:3" ht="18">
      <c r="B4" s="23" t="s">
        <v>263</v>
      </c>
    </row>
    <row r="6" spans="2:3">
      <c r="B6" s="71" t="s">
        <v>6</v>
      </c>
      <c r="C6" s="71" t="s">
        <v>224</v>
      </c>
    </row>
    <row r="7" spans="2:3">
      <c r="B7" t="s">
        <v>61</v>
      </c>
      <c r="C7">
        <f>COUNTIF(RiskAssessment[Post-Treatment Risk Level],RisksByRiskLevelPreandPostTreatment10[[#This Row],[Risk level]])</f>
        <v>8</v>
      </c>
    </row>
    <row r="8" spans="2:3">
      <c r="B8" t="s">
        <v>62</v>
      </c>
      <c r="C8">
        <f>COUNTIF(RiskAssessment[Post-Treatment Risk Level],RisksByRiskLevelPreandPostTreatment10[[#This Row],[Risk level]])</f>
        <v>6</v>
      </c>
    </row>
    <row r="9" spans="2:3">
      <c r="B9" t="s">
        <v>63</v>
      </c>
      <c r="C9">
        <f>COUNTIF(RiskAssessment[Post-Treatment Risk Level],RisksByRiskLevelPreandPostTreatment10[[#This Row],[Risk level]])</f>
        <v>0</v>
      </c>
    </row>
    <row r="10" spans="2:3" ht="18">
      <c r="B10" s="23"/>
    </row>
    <row r="12" spans="2:3">
      <c r="B12" s="43" t="s">
        <v>6</v>
      </c>
      <c r="C12" s="43" t="s">
        <v>264</v>
      </c>
    </row>
    <row r="13" spans="2:3">
      <c r="B13" t="s">
        <v>61</v>
      </c>
      <c r="C13">
        <v>0</v>
      </c>
    </row>
    <row r="14" spans="2:3">
      <c r="B14" t="s">
        <v>62</v>
      </c>
      <c r="C14">
        <v>0</v>
      </c>
    </row>
    <row r="15" spans="2:3">
      <c r="B15" t="s">
        <v>63</v>
      </c>
      <c r="C15">
        <v>0</v>
      </c>
    </row>
  </sheetData>
  <pageMargins left="0.7" right="0.7" top="0.75" bottom="0.75" header="0.3" footer="0.3"/>
  <ignoredErrors>
    <ignoredError sqref="C7:C9"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A311-44C2-4FA7-93B8-289F4BB38B73}">
  <sheetPr codeName="Sheet11"/>
  <dimension ref="B4:D15"/>
  <sheetViews>
    <sheetView showGridLines="0" workbookViewId="0"/>
  </sheetViews>
  <sheetFormatPr defaultRowHeight="14.4"/>
  <cols>
    <col min="1" max="1" width="2.88671875" customWidth="1"/>
    <col min="2" max="2" width="11.6640625" bestFit="1" customWidth="1"/>
    <col min="3" max="3" width="14.33203125" bestFit="1" customWidth="1"/>
    <col min="4" max="4" width="15.109375" bestFit="1" customWidth="1"/>
  </cols>
  <sheetData>
    <row r="4" spans="2:4" ht="18">
      <c r="B4" s="72" t="s">
        <v>265</v>
      </c>
    </row>
    <row r="6" spans="2:4">
      <c r="B6" s="71" t="s">
        <v>6</v>
      </c>
      <c r="C6" s="71" t="s">
        <v>223</v>
      </c>
      <c r="D6" s="71" t="s">
        <v>224</v>
      </c>
    </row>
    <row r="7" spans="2:4">
      <c r="B7" t="s">
        <v>61</v>
      </c>
      <c r="C7">
        <f>COUNTIF(RiskAssessment[Risk Level],PreMitigationRisksByRiskLevel10[[#This Row],[Risk level]])</f>
        <v>0</v>
      </c>
      <c r="D7">
        <f>COUNTIF(RiskAssessment[Post-Treatment Risk Level],PreMitigationRisksByRiskLevel10[[#This Row],[Risk level]])</f>
        <v>8</v>
      </c>
    </row>
    <row r="8" spans="2:4">
      <c r="B8" t="s">
        <v>62</v>
      </c>
      <c r="C8">
        <f>COUNTIF(RiskAssessment[Risk Level],PreMitigationRisksByRiskLevel10[[#This Row],[Risk level]])</f>
        <v>2</v>
      </c>
      <c r="D8">
        <f>COUNTIF(RiskAssessment[Post-Treatment Risk Level],PreMitigationRisksByRiskLevel10[[#This Row],[Risk level]])</f>
        <v>6</v>
      </c>
    </row>
    <row r="9" spans="2:4">
      <c r="B9" t="s">
        <v>63</v>
      </c>
      <c r="C9">
        <f>COUNTIF(RiskAssessment[Risk Level],PreMitigationRisksByRiskLevel10[[#This Row],[Risk level]])</f>
        <v>12</v>
      </c>
      <c r="D9">
        <f>COUNTIF(RiskAssessment[Post-Treatment Risk Level],PreMitigationRisksByRiskLevel10[[#This Row],[Risk level]])</f>
        <v>0</v>
      </c>
    </row>
    <row r="12" spans="2:4">
      <c r="B12" s="43" t="s">
        <v>6</v>
      </c>
      <c r="C12" s="43" t="s">
        <v>259</v>
      </c>
      <c r="D12" s="43" t="s">
        <v>264</v>
      </c>
    </row>
    <row r="13" spans="2:4">
      <c r="B13" t="s">
        <v>61</v>
      </c>
      <c r="C13">
        <v>0</v>
      </c>
      <c r="D13">
        <v>0</v>
      </c>
    </row>
    <row r="14" spans="2:4">
      <c r="B14" t="s">
        <v>62</v>
      </c>
      <c r="C14">
        <v>0</v>
      </c>
      <c r="D14">
        <v>0</v>
      </c>
    </row>
    <row r="15" spans="2:4">
      <c r="B15" t="s">
        <v>63</v>
      </c>
      <c r="C15">
        <v>0</v>
      </c>
      <c r="D15">
        <v>0</v>
      </c>
    </row>
  </sheetData>
  <pageMargins left="0.7" right="0.7" top="0.75" bottom="0.75" header="0.3" footer="0.3"/>
  <ignoredErrors>
    <ignoredError sqref="C7:C9 D7:D9"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CA38-666F-4240-B13A-4C9D4DA686BF}">
  <sheetPr codeName="Sheet12"/>
  <dimension ref="B4:C7"/>
  <sheetViews>
    <sheetView showGridLines="0" workbookViewId="0"/>
  </sheetViews>
  <sheetFormatPr defaultRowHeight="14.4"/>
  <cols>
    <col min="1" max="1" width="2.88671875" customWidth="1"/>
    <col min="2" max="2" width="26.5546875" bestFit="1" customWidth="1"/>
    <col min="3" max="3" width="20.109375" bestFit="1" customWidth="1"/>
  </cols>
  <sheetData>
    <row r="4" spans="2:3" ht="18">
      <c r="B4" s="23" t="s">
        <v>266</v>
      </c>
    </row>
    <row r="6" spans="2:3">
      <c r="B6" s="43" t="s">
        <v>176</v>
      </c>
      <c r="C6" s="43" t="s">
        <v>590</v>
      </c>
    </row>
    <row r="7" spans="2:3">
      <c r="B7"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72D-2AC3-457E-A7EF-A632D4D1F13C}">
  <sheetPr codeName="Sheet14"/>
  <dimension ref="B4:C7"/>
  <sheetViews>
    <sheetView showGridLines="0" workbookViewId="0"/>
  </sheetViews>
  <sheetFormatPr defaultRowHeight="14.4"/>
  <cols>
    <col min="1" max="1" width="2.88671875" customWidth="1"/>
    <col min="2" max="2" width="12" bestFit="1" customWidth="1"/>
    <col min="3" max="3" width="21.5546875" bestFit="1" customWidth="1"/>
  </cols>
  <sheetData>
    <row r="4" spans="2:3" ht="18">
      <c r="B4" s="23" t="s">
        <v>267</v>
      </c>
    </row>
    <row r="6" spans="2:3">
      <c r="B6" s="43" t="s">
        <v>175</v>
      </c>
      <c r="C6" s="43" t="s">
        <v>204</v>
      </c>
    </row>
    <row r="7" spans="2:3">
      <c r="B7" t="s">
        <v>599</v>
      </c>
      <c r="C7" s="7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FCC9-266F-4D65-A4F9-BE191888EFEB}">
  <sheetPr codeName="Sheet15"/>
  <dimension ref="B4:C8"/>
  <sheetViews>
    <sheetView showGridLines="0" workbookViewId="0"/>
  </sheetViews>
  <sheetFormatPr defaultRowHeight="14.4"/>
  <cols>
    <col min="1" max="1" width="2.88671875" customWidth="1"/>
    <col min="2" max="2" width="31.5546875" bestFit="1" customWidth="1"/>
    <col min="3" max="3" width="12" bestFit="1" customWidth="1"/>
    <col min="4" max="4" width="9.44140625" bestFit="1" customWidth="1"/>
    <col min="5" max="5" width="6" bestFit="1" customWidth="1"/>
    <col min="6" max="6" width="10.33203125" bestFit="1" customWidth="1"/>
    <col min="7" max="7" width="11.33203125" bestFit="1" customWidth="1"/>
  </cols>
  <sheetData>
    <row r="4" spans="2:3" ht="18">
      <c r="B4" s="23" t="s">
        <v>268</v>
      </c>
    </row>
    <row r="6" spans="2:3">
      <c r="B6" s="43" t="s">
        <v>269</v>
      </c>
      <c r="C6" s="43" t="s">
        <v>175</v>
      </c>
    </row>
    <row r="7" spans="2:3">
      <c r="B7" s="43" t="s">
        <v>205</v>
      </c>
      <c r="C7" s="43" t="s">
        <v>599</v>
      </c>
    </row>
    <row r="8" spans="2:3">
      <c r="B8" t="s">
        <v>261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3B94-1D21-432F-9D4F-7C6E36743EA3}">
  <sheetPr codeName="Sheet16"/>
  <dimension ref="A2:C264"/>
  <sheetViews>
    <sheetView showGridLines="0" topLeftCell="B1" zoomScaleNormal="100" workbookViewId="0">
      <selection activeCell="B7" sqref="B7"/>
    </sheetView>
  </sheetViews>
  <sheetFormatPr defaultColWidth="9.109375" defaultRowHeight="14.4"/>
  <cols>
    <col min="1" max="1" width="2.88671875" style="3" customWidth="1"/>
    <col min="2" max="2" width="103" style="3" customWidth="1"/>
    <col min="3" max="3" width="10" style="3" customWidth="1"/>
    <col min="4" max="16384" width="9.109375" style="3"/>
  </cols>
  <sheetData>
    <row r="2" spans="2:3">
      <c r="B2" s="4"/>
    </row>
    <row r="3" spans="2:3">
      <c r="B3" s="4"/>
    </row>
    <row r="4" spans="2:3">
      <c r="B4" s="4"/>
    </row>
    <row r="5" spans="2:3">
      <c r="B5" s="4"/>
    </row>
    <row r="6" spans="2:3">
      <c r="B6" s="4"/>
    </row>
    <row r="7" spans="2:3" ht="85.2" customHeight="1">
      <c r="B7" s="4"/>
    </row>
    <row r="8" spans="2:3" ht="21">
      <c r="B8" s="10" t="s">
        <v>605</v>
      </c>
      <c r="C8" s="11"/>
    </row>
    <row r="9" spans="2:3">
      <c r="B9" s="11" t="s">
        <v>169</v>
      </c>
      <c r="C9" s="11"/>
    </row>
    <row r="10" spans="2:3">
      <c r="B10" s="11"/>
      <c r="C10" s="11"/>
    </row>
    <row r="11" spans="2:3" ht="21" customHeight="1">
      <c r="B11" s="30" t="s">
        <v>170</v>
      </c>
    </row>
    <row r="13" spans="2:3" ht="18">
      <c r="B13" s="29" t="s">
        <v>606</v>
      </c>
    </row>
    <row r="14" spans="2:3" ht="18" customHeight="1">
      <c r="B14" s="2" t="s">
        <v>607</v>
      </c>
    </row>
    <row r="15" spans="2:3">
      <c r="B15" s="2" t="s">
        <v>608</v>
      </c>
    </row>
    <row r="16" spans="2:3">
      <c r="B16" s="2" t="s">
        <v>609</v>
      </c>
    </row>
    <row r="17" spans="2:2">
      <c r="B17" s="2" t="s">
        <v>610</v>
      </c>
    </row>
    <row r="18" spans="2:2">
      <c r="B18" s="2" t="s">
        <v>611</v>
      </c>
    </row>
    <row r="19" spans="2:2">
      <c r="B19" s="2" t="s">
        <v>612</v>
      </c>
    </row>
    <row r="20" spans="2:2">
      <c r="B20" s="2" t="s">
        <v>613</v>
      </c>
    </row>
    <row r="21" spans="2:2">
      <c r="B21" s="2" t="s">
        <v>614</v>
      </c>
    </row>
    <row r="22" spans="2:2">
      <c r="B22" s="2" t="s">
        <v>615</v>
      </c>
    </row>
    <row r="23" spans="2:2">
      <c r="B23" s="2" t="s">
        <v>616</v>
      </c>
    </row>
    <row r="24" spans="2:2">
      <c r="B24" s="2" t="s">
        <v>617</v>
      </c>
    </row>
    <row r="25" spans="2:2">
      <c r="B25" s="2" t="s">
        <v>618</v>
      </c>
    </row>
    <row r="26" spans="2:2">
      <c r="B26" s="2" t="s">
        <v>619</v>
      </c>
    </row>
    <row r="27" spans="2:2">
      <c r="B27" s="2" t="s">
        <v>620</v>
      </c>
    </row>
    <row r="28" spans="2:2">
      <c r="B28" s="2" t="s">
        <v>621</v>
      </c>
    </row>
    <row r="29" spans="2:2">
      <c r="B29" s="2" t="s">
        <v>622</v>
      </c>
    </row>
    <row r="30" spans="2:2">
      <c r="B30" s="2" t="s">
        <v>623</v>
      </c>
    </row>
    <row r="31" spans="2:2">
      <c r="B31" s="2" t="s">
        <v>624</v>
      </c>
    </row>
    <row r="32" spans="2:2">
      <c r="B32" s="2" t="s">
        <v>625</v>
      </c>
    </row>
    <row r="33" spans="2:2">
      <c r="B33" s="2" t="s">
        <v>626</v>
      </c>
    </row>
    <row r="34" spans="2:2">
      <c r="B34" s="2" t="s">
        <v>627</v>
      </c>
    </row>
    <row r="35" spans="2:2">
      <c r="B35" s="2" t="s">
        <v>628</v>
      </c>
    </row>
    <row r="36" spans="2:2">
      <c r="B36" s="2" t="s">
        <v>629</v>
      </c>
    </row>
    <row r="37" spans="2:2">
      <c r="B37" s="2" t="s">
        <v>630</v>
      </c>
    </row>
    <row r="38" spans="2:2">
      <c r="B38" s="2" t="s">
        <v>631</v>
      </c>
    </row>
    <row r="39" spans="2:2">
      <c r="B39" s="2" t="s">
        <v>632</v>
      </c>
    </row>
    <row r="40" spans="2:2" ht="18.75" customHeight="1">
      <c r="B40" s="2" t="s">
        <v>633</v>
      </c>
    </row>
    <row r="41" spans="2:2">
      <c r="B41" s="2" t="s">
        <v>634</v>
      </c>
    </row>
    <row r="42" spans="2:2">
      <c r="B42" s="2" t="s">
        <v>635</v>
      </c>
    </row>
    <row r="43" spans="2:2">
      <c r="B43" s="2" t="s">
        <v>636</v>
      </c>
    </row>
    <row r="44" spans="2:2">
      <c r="B44" s="2" t="s">
        <v>637</v>
      </c>
    </row>
    <row r="45" spans="2:2">
      <c r="B45" s="2" t="s">
        <v>638</v>
      </c>
    </row>
    <row r="46" spans="2:2">
      <c r="B46" s="2" t="s">
        <v>639</v>
      </c>
    </row>
    <row r="47" spans="2:2">
      <c r="B47" s="2" t="s">
        <v>640</v>
      </c>
    </row>
    <row r="48" spans="2:2">
      <c r="B48" s="2" t="s">
        <v>641</v>
      </c>
    </row>
    <row r="49" spans="1:2">
      <c r="B49" s="2" t="s">
        <v>642</v>
      </c>
    </row>
    <row r="50" spans="1:2">
      <c r="B50" s="2" t="s">
        <v>643</v>
      </c>
    </row>
    <row r="51" spans="1:2">
      <c r="B51" s="7"/>
    </row>
    <row r="52" spans="1:2" ht="18">
      <c r="B52" s="29" t="s">
        <v>644</v>
      </c>
    </row>
    <row r="53" spans="1:2">
      <c r="B53" s="2" t="s">
        <v>645</v>
      </c>
    </row>
    <row r="54" spans="1:2">
      <c r="B54" s="2" t="s">
        <v>646</v>
      </c>
    </row>
    <row r="55" spans="1:2">
      <c r="B55" s="2" t="s">
        <v>647</v>
      </c>
    </row>
    <row r="56" spans="1:2">
      <c r="B56" s="2" t="s">
        <v>648</v>
      </c>
    </row>
    <row r="57" spans="1:2">
      <c r="B57" s="2" t="s">
        <v>649</v>
      </c>
    </row>
    <row r="58" spans="1:2">
      <c r="B58" s="2" t="s">
        <v>650</v>
      </c>
    </row>
    <row r="59" spans="1:2">
      <c r="B59" s="2" t="s">
        <v>651</v>
      </c>
    </row>
    <row r="60" spans="1:2">
      <c r="B60" s="2" t="s">
        <v>652</v>
      </c>
    </row>
    <row r="61" spans="1:2">
      <c r="B61" s="7"/>
    </row>
    <row r="62" spans="1:2" ht="18">
      <c r="B62" s="29" t="s">
        <v>667</v>
      </c>
    </row>
    <row r="63" spans="1:2">
      <c r="B63" s="2" t="s">
        <v>653</v>
      </c>
    </row>
    <row r="64" spans="1:2" ht="15.6">
      <c r="A64" s="22"/>
      <c r="B64" s="2" t="s">
        <v>654</v>
      </c>
    </row>
    <row r="65" spans="2:2">
      <c r="B65" s="2" t="s">
        <v>655</v>
      </c>
    </row>
    <row r="66" spans="2:2">
      <c r="B66" s="2" t="s">
        <v>656</v>
      </c>
    </row>
    <row r="67" spans="2:2">
      <c r="B67" s="2" t="s">
        <v>657</v>
      </c>
    </row>
    <row r="68" spans="2:2">
      <c r="B68" s="2" t="s">
        <v>658</v>
      </c>
    </row>
    <row r="69" spans="2:2">
      <c r="B69" s="2" t="s">
        <v>659</v>
      </c>
    </row>
    <row r="70" spans="2:2">
      <c r="B70" s="2" t="s">
        <v>660</v>
      </c>
    </row>
    <row r="71" spans="2:2">
      <c r="B71" s="2" t="s">
        <v>661</v>
      </c>
    </row>
    <row r="72" spans="2:2">
      <c r="B72" s="2" t="s">
        <v>662</v>
      </c>
    </row>
    <row r="73" spans="2:2" ht="16.5" customHeight="1">
      <c r="B73" s="2" t="s">
        <v>663</v>
      </c>
    </row>
    <row r="74" spans="2:2">
      <c r="B74" s="2" t="s">
        <v>664</v>
      </c>
    </row>
    <row r="75" spans="2:2">
      <c r="B75" s="2" t="s">
        <v>665</v>
      </c>
    </row>
    <row r="76" spans="2:2">
      <c r="B76" s="2" t="s">
        <v>666</v>
      </c>
    </row>
    <row r="77" spans="2:2" ht="15.6">
      <c r="B77" s="31"/>
    </row>
    <row r="78" spans="2:2" ht="18">
      <c r="B78" s="29" t="s">
        <v>668</v>
      </c>
    </row>
    <row r="79" spans="2:2">
      <c r="B79" s="2" t="s">
        <v>669</v>
      </c>
    </row>
    <row r="80" spans="2:2">
      <c r="B80" s="2" t="s">
        <v>670</v>
      </c>
    </row>
    <row r="81" spans="2:2">
      <c r="B81" s="2" t="s">
        <v>671</v>
      </c>
    </row>
    <row r="82" spans="2:2">
      <c r="B82" s="2" t="s">
        <v>672</v>
      </c>
    </row>
    <row r="83" spans="2:2">
      <c r="B83" s="2" t="s">
        <v>673</v>
      </c>
    </row>
    <row r="84" spans="2:2">
      <c r="B84" s="2" t="s">
        <v>674</v>
      </c>
    </row>
    <row r="85" spans="2:2">
      <c r="B85" s="2" t="s">
        <v>675</v>
      </c>
    </row>
    <row r="86" spans="2:2">
      <c r="B86" s="2" t="s">
        <v>676</v>
      </c>
    </row>
    <row r="87" spans="2:2">
      <c r="B87" s="2" t="s">
        <v>677</v>
      </c>
    </row>
    <row r="88" spans="2:2">
      <c r="B88" s="2" t="s">
        <v>678</v>
      </c>
    </row>
    <row r="89" spans="2:2">
      <c r="B89" s="2" t="s">
        <v>679</v>
      </c>
    </row>
    <row r="90" spans="2:2">
      <c r="B90" s="2" t="s">
        <v>680</v>
      </c>
    </row>
    <row r="91" spans="2:2">
      <c r="B91" s="2" t="s">
        <v>681</v>
      </c>
    </row>
    <row r="92" spans="2:2">
      <c r="B92" s="2" t="s">
        <v>682</v>
      </c>
    </row>
    <row r="93" spans="2:2">
      <c r="B93" s="2" t="s">
        <v>683</v>
      </c>
    </row>
    <row r="94" spans="2:2">
      <c r="B94" s="2" t="s">
        <v>684</v>
      </c>
    </row>
    <row r="95" spans="2:2">
      <c r="B95" s="2" t="s">
        <v>685</v>
      </c>
    </row>
    <row r="96" spans="2:2">
      <c r="B96" s="2" t="s">
        <v>686</v>
      </c>
    </row>
    <row r="97" spans="2:2">
      <c r="B97" s="2" t="s">
        <v>687</v>
      </c>
    </row>
    <row r="98" spans="2:2">
      <c r="B98" s="2" t="s">
        <v>688</v>
      </c>
    </row>
    <row r="99" spans="2:2">
      <c r="B99" s="2" t="s">
        <v>689</v>
      </c>
    </row>
    <row r="100" spans="2:2">
      <c r="B100" s="2" t="s">
        <v>690</v>
      </c>
    </row>
    <row r="101" spans="2:2" ht="15" customHeight="1">
      <c r="B101" s="2" t="s">
        <v>691</v>
      </c>
    </row>
    <row r="102" spans="2:2">
      <c r="B102" s="2" t="s">
        <v>692</v>
      </c>
    </row>
    <row r="103" spans="2:2">
      <c r="B103" s="2" t="s">
        <v>693</v>
      </c>
    </row>
    <row r="104" spans="2:2">
      <c r="B104" s="2" t="s">
        <v>694</v>
      </c>
    </row>
    <row r="105" spans="2:2">
      <c r="B105" s="2" t="s">
        <v>695</v>
      </c>
    </row>
    <row r="106" spans="2:2">
      <c r="B106" s="2" t="s">
        <v>696</v>
      </c>
    </row>
    <row r="107" spans="2:2">
      <c r="B107" s="2" t="s">
        <v>697</v>
      </c>
    </row>
    <row r="108" spans="2:2">
      <c r="B108" s="2" t="s">
        <v>698</v>
      </c>
    </row>
    <row r="109" spans="2:2">
      <c r="B109" s="2" t="s">
        <v>699</v>
      </c>
    </row>
    <row r="110" spans="2:2">
      <c r="B110" s="2" t="s">
        <v>700</v>
      </c>
    </row>
    <row r="111" spans="2:2">
      <c r="B111" s="2" t="s">
        <v>701</v>
      </c>
    </row>
    <row r="112" spans="2:2">
      <c r="B112" s="2" t="s">
        <v>702</v>
      </c>
    </row>
    <row r="113" spans="2:2">
      <c r="B113" s="7"/>
    </row>
    <row r="114" spans="2:2" ht="15" thickBot="1">
      <c r="B114" s="97"/>
    </row>
    <row r="115" spans="2:2">
      <c r="B115" s="7"/>
    </row>
    <row r="116" spans="2:2" ht="18">
      <c r="B116" s="32"/>
    </row>
    <row r="117" spans="2:2" ht="15.6">
      <c r="B117" s="31"/>
    </row>
    <row r="118" spans="2:2">
      <c r="B118" s="7"/>
    </row>
    <row r="119" spans="2:2">
      <c r="B119" s="7"/>
    </row>
    <row r="120" spans="2:2">
      <c r="B120" s="7"/>
    </row>
    <row r="121" spans="2:2" ht="15" customHeight="1">
      <c r="B121" s="7"/>
    </row>
    <row r="122" spans="2:2">
      <c r="B122" s="7"/>
    </row>
    <row r="123" spans="2:2">
      <c r="B123" s="7"/>
    </row>
    <row r="124" spans="2:2" ht="15.6">
      <c r="B124" s="31"/>
    </row>
    <row r="125" spans="2:2">
      <c r="B125" s="7"/>
    </row>
    <row r="126" spans="2:2">
      <c r="B126" s="7"/>
    </row>
    <row r="127" spans="2:2" ht="15.6">
      <c r="B127" s="31"/>
    </row>
    <row r="128" spans="2:2">
      <c r="B128" s="7"/>
    </row>
    <row r="129" spans="2:2">
      <c r="B129" s="7"/>
    </row>
    <row r="130" spans="2:2" ht="15.6">
      <c r="B130" s="31"/>
    </row>
    <row r="131" spans="2:2">
      <c r="B131" s="7"/>
    </row>
    <row r="132" spans="2:2">
      <c r="B132" s="7"/>
    </row>
    <row r="133" spans="2:2">
      <c r="B133" s="7"/>
    </row>
    <row r="134" spans="2:2">
      <c r="B134" s="7"/>
    </row>
    <row r="135" spans="2:2">
      <c r="B135" s="7"/>
    </row>
    <row r="136" spans="2:2">
      <c r="B136" s="7"/>
    </row>
    <row r="137" spans="2:2" ht="15.6">
      <c r="B137" s="31"/>
    </row>
    <row r="138" spans="2:2">
      <c r="B138" s="7"/>
    </row>
    <row r="139" spans="2:2">
      <c r="B139" s="7"/>
    </row>
    <row r="140" spans="2:2" ht="15.6">
      <c r="B140" s="31"/>
    </row>
    <row r="141" spans="2:2">
      <c r="B141" s="7"/>
    </row>
    <row r="142" spans="2:2">
      <c r="B142" s="7"/>
    </row>
    <row r="143" spans="2:2">
      <c r="B143" s="7"/>
    </row>
    <row r="144" spans="2:2" ht="15.6">
      <c r="B144" s="31"/>
    </row>
    <row r="145" spans="2:2">
      <c r="B145" s="7"/>
    </row>
    <row r="146" spans="2:2">
      <c r="B146" s="7"/>
    </row>
    <row r="147" spans="2:2" ht="18">
      <c r="B147" s="32"/>
    </row>
    <row r="148" spans="2:2" ht="15.6">
      <c r="B148" s="31"/>
    </row>
    <row r="149" spans="2:2">
      <c r="B149" s="7"/>
    </row>
    <row r="150" spans="2:2">
      <c r="B150" s="7"/>
    </row>
    <row r="151" spans="2:2">
      <c r="B151" s="7"/>
    </row>
    <row r="152" spans="2:2" ht="15" customHeight="1">
      <c r="B152" s="7"/>
    </row>
    <row r="153" spans="2:2" ht="15" customHeight="1">
      <c r="B153" s="7"/>
    </row>
    <row r="154" spans="2:2" ht="15.6">
      <c r="B154" s="31"/>
    </row>
    <row r="155" spans="2:2">
      <c r="B155" s="7"/>
    </row>
    <row r="156" spans="2:2">
      <c r="B156" s="7"/>
    </row>
    <row r="157" spans="2:2">
      <c r="B157" s="7"/>
    </row>
    <row r="158" spans="2:2">
      <c r="B158" s="7"/>
    </row>
    <row r="159" spans="2:2">
      <c r="B159" s="7"/>
    </row>
    <row r="160" spans="2:2" ht="18">
      <c r="B160" s="33"/>
    </row>
    <row r="161" spans="2:2" ht="15.6">
      <c r="B161" s="31"/>
    </row>
    <row r="162" spans="2:2" ht="15" customHeight="1">
      <c r="B162" s="7"/>
    </row>
    <row r="163" spans="2:2">
      <c r="B163" s="7"/>
    </row>
    <row r="164" spans="2:2">
      <c r="B164" s="7"/>
    </row>
    <row r="165" spans="2:2">
      <c r="B165" s="7"/>
    </row>
    <row r="166" spans="2:2" ht="15.6">
      <c r="B166" s="31"/>
    </row>
    <row r="167" spans="2:2">
      <c r="B167" s="7"/>
    </row>
    <row r="168" spans="2:2">
      <c r="B168" s="7"/>
    </row>
    <row r="169" spans="2:2" ht="15" customHeight="1">
      <c r="B169" s="7"/>
    </row>
    <row r="170" spans="2:2">
      <c r="B170" s="7"/>
    </row>
    <row r="171" spans="2:2">
      <c r="B171" s="7"/>
    </row>
    <row r="172" spans="2:2">
      <c r="B172" s="7"/>
    </row>
    <row r="173" spans="2:2">
      <c r="B173" s="7"/>
    </row>
    <row r="174" spans="2:2">
      <c r="B174" s="7"/>
    </row>
    <row r="175" spans="2:2">
      <c r="B175" s="7"/>
    </row>
    <row r="176" spans="2:2">
      <c r="B176" s="7"/>
    </row>
    <row r="177" spans="2:2" ht="15.6">
      <c r="B177" s="31"/>
    </row>
    <row r="178" spans="2:2">
      <c r="B178" s="7"/>
    </row>
    <row r="179" spans="2:2">
      <c r="B179" s="7"/>
    </row>
    <row r="180" spans="2:2" ht="18">
      <c r="B180" s="32"/>
    </row>
    <row r="181" spans="2:2" ht="15.6">
      <c r="B181" s="31"/>
    </row>
    <row r="182" spans="2:2" ht="15" customHeight="1">
      <c r="B182" s="7"/>
    </row>
    <row r="183" spans="2:2">
      <c r="B183" s="7"/>
    </row>
    <row r="184" spans="2:2" ht="15" customHeight="1">
      <c r="B184" s="7"/>
    </row>
    <row r="185" spans="2:2" ht="15" customHeight="1">
      <c r="B185" s="7"/>
    </row>
    <row r="186" spans="2:2" ht="15.6">
      <c r="B186" s="31"/>
    </row>
    <row r="187" spans="2:2">
      <c r="B187" s="7"/>
    </row>
    <row r="188" spans="2:2">
      <c r="B188" s="7"/>
    </row>
    <row r="189" spans="2:2">
      <c r="B189" s="7"/>
    </row>
    <row r="190" spans="2:2" ht="18">
      <c r="B190" s="33"/>
    </row>
    <row r="191" spans="2:2" ht="15.6">
      <c r="B191" s="31"/>
    </row>
    <row r="192" spans="2:2">
      <c r="B192" s="7"/>
    </row>
    <row r="193" spans="2:2">
      <c r="B193" s="7"/>
    </row>
    <row r="194" spans="2:2">
      <c r="B194" s="7"/>
    </row>
    <row r="195" spans="2:2" ht="15" customHeight="1">
      <c r="B195" s="7"/>
    </row>
    <row r="196" spans="2:2">
      <c r="B196" s="7"/>
    </row>
    <row r="197" spans="2:2">
      <c r="B197" s="7"/>
    </row>
    <row r="198" spans="2:2">
      <c r="B198" s="7"/>
    </row>
    <row r="199" spans="2:2">
      <c r="B199" s="7"/>
    </row>
    <row r="200" spans="2:2" ht="18">
      <c r="B200" s="33"/>
    </row>
    <row r="201" spans="2:2" ht="15.6">
      <c r="B201" s="31"/>
    </row>
    <row r="202" spans="2:2">
      <c r="B202" s="7"/>
    </row>
    <row r="203" spans="2:2">
      <c r="B203" s="7"/>
    </row>
    <row r="204" spans="2:2" ht="15" customHeight="1">
      <c r="B204" s="7"/>
    </row>
    <row r="205" spans="2:2" ht="15" customHeight="1">
      <c r="B205" s="7"/>
    </row>
    <row r="206" spans="2:2" ht="15.6">
      <c r="B206" s="31"/>
    </row>
    <row r="207" spans="2:2">
      <c r="B207" s="7"/>
    </row>
    <row r="208" spans="2:2">
      <c r="B208" s="7"/>
    </row>
    <row r="209" spans="2:2" ht="18">
      <c r="B209" s="29"/>
    </row>
    <row r="210" spans="2:2" ht="15.6">
      <c r="B210" s="31"/>
    </row>
    <row r="211" spans="2:2" ht="15" customHeight="1">
      <c r="B211" s="7"/>
    </row>
    <row r="212" spans="2:2">
      <c r="B212" s="7"/>
    </row>
    <row r="213" spans="2:2">
      <c r="B213" s="7"/>
    </row>
    <row r="214" spans="2:2" ht="15" customHeight="1">
      <c r="B214" s="7"/>
    </row>
    <row r="215" spans="2:2">
      <c r="B215" s="7"/>
    </row>
    <row r="216" spans="2:2">
      <c r="B216" s="7"/>
    </row>
    <row r="217" spans="2:2" ht="15.6">
      <c r="B217" s="31"/>
    </row>
    <row r="218" spans="2:2">
      <c r="B218" s="7"/>
    </row>
    <row r="219" spans="2:2">
      <c r="B219" s="7"/>
    </row>
    <row r="220" spans="2:2">
      <c r="B220" s="7"/>
    </row>
    <row r="221" spans="2:2">
      <c r="B221" s="7"/>
    </row>
    <row r="222" spans="2:2" ht="18">
      <c r="B222" s="34"/>
    </row>
    <row r="223" spans="2:2" ht="15.6">
      <c r="B223" s="31"/>
    </row>
    <row r="224" spans="2:2" ht="15" customHeight="1">
      <c r="B224" s="7"/>
    </row>
    <row r="225" spans="2:2" ht="15" customHeight="1">
      <c r="B225" s="7"/>
    </row>
    <row r="226" spans="2:2" ht="15.6">
      <c r="B226" s="31"/>
    </row>
    <row r="227" spans="2:2">
      <c r="B227" s="7"/>
    </row>
    <row r="228" spans="2:2">
      <c r="B228" s="7"/>
    </row>
    <row r="229" spans="2:2">
      <c r="B229" s="7"/>
    </row>
    <row r="230" spans="2:2" ht="15.6">
      <c r="B230" s="31"/>
    </row>
    <row r="231" spans="2:2">
      <c r="B231" s="7"/>
    </row>
    <row r="232" spans="2:2">
      <c r="B232" s="7"/>
    </row>
    <row r="233" spans="2:2" ht="15.6">
      <c r="B233" s="31"/>
    </row>
    <row r="234" spans="2:2">
      <c r="B234" s="7"/>
    </row>
    <row r="235" spans="2:2">
      <c r="B235" s="7"/>
    </row>
    <row r="236" spans="2:2">
      <c r="B236" s="7"/>
    </row>
    <row r="237" spans="2:2" ht="15.6">
      <c r="B237" s="31"/>
    </row>
    <row r="238" spans="2:2">
      <c r="B238" s="7"/>
    </row>
    <row r="239" spans="2:2">
      <c r="B239" s="7"/>
    </row>
    <row r="240" spans="2:2" ht="15.6">
      <c r="B240" s="31"/>
    </row>
    <row r="241" spans="2:2">
      <c r="B241" s="7"/>
    </row>
    <row r="242" spans="2:2" ht="15" customHeight="1">
      <c r="B242" s="7"/>
    </row>
    <row r="243" spans="2:2">
      <c r="B243" s="7"/>
    </row>
    <row r="244" spans="2:2">
      <c r="B244" s="7"/>
    </row>
    <row r="245" spans="2:2" ht="15.6">
      <c r="B245" s="31"/>
    </row>
    <row r="246" spans="2:2">
      <c r="B246" s="7"/>
    </row>
    <row r="247" spans="2:2">
      <c r="B247" s="7"/>
    </row>
    <row r="248" spans="2:2">
      <c r="B248" s="7"/>
    </row>
    <row r="249" spans="2:2" ht="15" customHeight="1">
      <c r="B249" s="7"/>
    </row>
    <row r="250" spans="2:2" ht="15" customHeight="1">
      <c r="B250" s="7"/>
    </row>
    <row r="251" spans="2:2" ht="15" customHeight="1">
      <c r="B251" s="7"/>
    </row>
    <row r="252" spans="2:2">
      <c r="B252" s="7"/>
    </row>
    <row r="253" spans="2:2">
      <c r="B253" s="7"/>
    </row>
    <row r="254" spans="2:2">
      <c r="B254" s="7"/>
    </row>
    <row r="255" spans="2:2">
      <c r="B255" s="7"/>
    </row>
    <row r="256" spans="2:2">
      <c r="B256" s="7"/>
    </row>
    <row r="257" spans="2:2">
      <c r="B257" s="7"/>
    </row>
    <row r="258" spans="2:2">
      <c r="B258" s="7"/>
    </row>
    <row r="259" spans="2:2">
      <c r="B259" s="7"/>
    </row>
    <row r="260" spans="2:2" ht="15.6">
      <c r="B260" s="31"/>
    </row>
    <row r="261" spans="2:2">
      <c r="B261" s="7"/>
    </row>
    <row r="262" spans="2:2">
      <c r="B262" s="7"/>
    </row>
    <row r="263" spans="2:2" ht="15" thickBot="1">
      <c r="B263" s="35"/>
    </row>
    <row r="264" spans="2:2" ht="15" thickTop="1"/>
  </sheetData>
  <sheetProtection selectLockedCells="1" selectUnlockedCells="1"/>
  <pageMargins left="0.70866141732283472" right="0.70866141732283472" top="0.74803149606299213" bottom="0.74803149606299213" header="0.31496062992125984" footer="0.31496062992125984"/>
  <pageSetup paperSize="9" scale="69" orientation="portrait" horizontalDpi="1200" verticalDpi="1200" r:id="rId1"/>
  <headerFooter>
    <oddFooter>&amp;L&amp;D&amp;CPage &amp;P of &amp;N&amp;R[Insert classification]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3F38-B97A-4CB5-93A9-A8C42971A63C}">
  <sheetPr>
    <pageSetUpPr fitToPage="1"/>
  </sheetPr>
  <dimension ref="B2:G134"/>
  <sheetViews>
    <sheetView showGridLines="0" workbookViewId="0"/>
  </sheetViews>
  <sheetFormatPr defaultColWidth="9.109375" defaultRowHeight="14.4"/>
  <cols>
    <col min="1" max="1" width="2.88671875" style="20" customWidth="1"/>
    <col min="2" max="2" width="4.33203125" style="20" customWidth="1"/>
    <col min="3" max="3" width="22.33203125" style="20" customWidth="1"/>
    <col min="4" max="4" width="57" style="20" customWidth="1"/>
    <col min="5" max="5" width="62.5546875" style="20" customWidth="1"/>
    <col min="6" max="6" width="23.6640625" style="20" customWidth="1"/>
    <col min="7" max="7" width="29" style="20" customWidth="1"/>
    <col min="8" max="16384" width="9.109375" style="20"/>
  </cols>
  <sheetData>
    <row r="2" spans="2:7">
      <c r="B2" s="19"/>
      <c r="C2" s="19"/>
    </row>
    <row r="3" spans="2:7">
      <c r="B3" s="19"/>
      <c r="C3" s="19"/>
    </row>
    <row r="4" spans="2:7">
      <c r="B4" s="19"/>
      <c r="C4" s="19"/>
    </row>
    <row r="5" spans="2:7" ht="99" customHeight="1">
      <c r="B5" s="19"/>
      <c r="C5" s="19"/>
    </row>
    <row r="6" spans="2:7">
      <c r="B6" s="19"/>
      <c r="C6" s="19"/>
    </row>
    <row r="7" spans="2:7">
      <c r="B7" s="19"/>
      <c r="C7" s="19"/>
    </row>
    <row r="8" spans="2:7" ht="21">
      <c r="B8" s="21" t="s">
        <v>277</v>
      </c>
      <c r="C8" s="21"/>
      <c r="D8" s="74"/>
    </row>
    <row r="9" spans="2:7">
      <c r="B9" s="74" t="s">
        <v>278</v>
      </c>
      <c r="C9" s="74"/>
      <c r="D9" s="74"/>
    </row>
    <row r="10" spans="2:7">
      <c r="B10" s="74" t="s">
        <v>76</v>
      </c>
      <c r="C10" s="74"/>
      <c r="D10" s="74"/>
    </row>
    <row r="11" spans="2:7">
      <c r="B11" s="74"/>
      <c r="C11" s="74"/>
      <c r="D11" s="74"/>
    </row>
    <row r="12" spans="2:7" ht="21" customHeight="1">
      <c r="B12" s="98" t="s">
        <v>170</v>
      </c>
      <c r="C12" s="36" t="s">
        <v>279</v>
      </c>
      <c r="D12" s="37" t="s">
        <v>280</v>
      </c>
      <c r="E12" s="37" t="s">
        <v>281</v>
      </c>
      <c r="F12" s="36" t="s">
        <v>282</v>
      </c>
      <c r="G12" s="36" t="s">
        <v>77</v>
      </c>
    </row>
    <row r="13" spans="2:7">
      <c r="B13" s="99"/>
      <c r="C13" s="75"/>
      <c r="D13" s="76"/>
      <c r="E13" s="76"/>
      <c r="F13" s="75"/>
      <c r="G13" s="75"/>
    </row>
    <row r="14" spans="2:7" ht="43.2">
      <c r="B14" s="100">
        <v>1</v>
      </c>
      <c r="C14" s="74" t="s">
        <v>283</v>
      </c>
      <c r="D14" s="78" t="s">
        <v>78</v>
      </c>
      <c r="E14" s="74" t="s">
        <v>284</v>
      </c>
      <c r="F14" s="78" t="s">
        <v>285</v>
      </c>
      <c r="G14" s="2" t="s">
        <v>607</v>
      </c>
    </row>
    <row r="15" spans="2:7" ht="28.8">
      <c r="B15" s="100">
        <v>2</v>
      </c>
      <c r="C15" s="74" t="s">
        <v>283</v>
      </c>
      <c r="D15" s="78" t="s">
        <v>286</v>
      </c>
      <c r="E15" s="78" t="s">
        <v>287</v>
      </c>
      <c r="F15" s="78" t="s">
        <v>288</v>
      </c>
      <c r="G15" s="2" t="s">
        <v>607</v>
      </c>
    </row>
    <row r="16" spans="2:7" ht="28.8">
      <c r="B16" s="100">
        <v>3</v>
      </c>
      <c r="C16" s="74" t="s">
        <v>283</v>
      </c>
      <c r="D16" s="78" t="s">
        <v>79</v>
      </c>
      <c r="E16" s="78" t="s">
        <v>289</v>
      </c>
      <c r="F16" s="78" t="s">
        <v>290</v>
      </c>
      <c r="G16" s="2" t="s">
        <v>608</v>
      </c>
    </row>
    <row r="17" spans="2:7" ht="43.2">
      <c r="B17" s="100">
        <v>4</v>
      </c>
      <c r="C17" s="74" t="s">
        <v>291</v>
      </c>
      <c r="D17" s="78" t="s">
        <v>292</v>
      </c>
      <c r="E17" s="78" t="s">
        <v>293</v>
      </c>
      <c r="F17" s="78" t="s">
        <v>288</v>
      </c>
      <c r="G17" s="2" t="s">
        <v>609</v>
      </c>
    </row>
    <row r="18" spans="2:7" ht="28.8">
      <c r="B18" s="100">
        <v>5</v>
      </c>
      <c r="C18" s="74" t="s">
        <v>283</v>
      </c>
      <c r="D18" s="78" t="s">
        <v>80</v>
      </c>
      <c r="E18" s="78" t="s">
        <v>294</v>
      </c>
      <c r="F18" s="78" t="s">
        <v>295</v>
      </c>
      <c r="G18" s="2" t="s">
        <v>611</v>
      </c>
    </row>
    <row r="19" spans="2:7" ht="43.2">
      <c r="B19" s="100">
        <v>6</v>
      </c>
      <c r="C19" s="74" t="s">
        <v>291</v>
      </c>
      <c r="D19" s="78" t="s">
        <v>81</v>
      </c>
      <c r="E19" s="78" t="s">
        <v>296</v>
      </c>
      <c r="F19" s="78" t="s">
        <v>288</v>
      </c>
      <c r="G19" s="2" t="s">
        <v>612</v>
      </c>
    </row>
    <row r="20" spans="2:7" ht="28.8">
      <c r="B20" s="100">
        <v>7</v>
      </c>
      <c r="C20" s="74" t="s">
        <v>283</v>
      </c>
      <c r="D20" s="78" t="s">
        <v>82</v>
      </c>
      <c r="E20" s="78" t="s">
        <v>600</v>
      </c>
      <c r="F20" s="78" t="s">
        <v>290</v>
      </c>
      <c r="G20" s="2" t="s">
        <v>614</v>
      </c>
    </row>
    <row r="21" spans="2:7" ht="28.8">
      <c r="B21" s="100">
        <v>8</v>
      </c>
      <c r="C21" s="74" t="s">
        <v>297</v>
      </c>
      <c r="D21" s="78" t="s">
        <v>298</v>
      </c>
      <c r="E21" s="78" t="s">
        <v>299</v>
      </c>
      <c r="F21" s="78" t="s">
        <v>290</v>
      </c>
      <c r="G21" s="2" t="s">
        <v>669</v>
      </c>
    </row>
    <row r="22" spans="2:7" ht="43.2">
      <c r="B22" s="100">
        <v>9</v>
      </c>
      <c r="C22" s="74" t="s">
        <v>300</v>
      </c>
      <c r="D22" s="78" t="s">
        <v>83</v>
      </c>
      <c r="E22" s="78" t="s">
        <v>301</v>
      </c>
      <c r="F22" s="78" t="s">
        <v>290</v>
      </c>
      <c r="G22" s="2" t="s">
        <v>651</v>
      </c>
    </row>
    <row r="23" spans="2:7" ht="57.6">
      <c r="B23" s="100">
        <v>10</v>
      </c>
      <c r="C23" s="74" t="s">
        <v>291</v>
      </c>
      <c r="D23" s="78" t="s">
        <v>302</v>
      </c>
      <c r="E23" s="78" t="s">
        <v>303</v>
      </c>
      <c r="F23" s="78" t="s">
        <v>285</v>
      </c>
      <c r="G23" s="2" t="s">
        <v>629</v>
      </c>
    </row>
    <row r="24" spans="2:7" ht="28.8">
      <c r="B24" s="100">
        <v>11</v>
      </c>
      <c r="C24" s="74" t="s">
        <v>304</v>
      </c>
      <c r="D24" s="78" t="s">
        <v>305</v>
      </c>
      <c r="E24" s="78" t="s">
        <v>306</v>
      </c>
      <c r="F24" s="78" t="s">
        <v>295</v>
      </c>
      <c r="G24" s="2" t="s">
        <v>645</v>
      </c>
    </row>
    <row r="25" spans="2:7" ht="28.8">
      <c r="B25" s="100">
        <v>12</v>
      </c>
      <c r="C25" s="74" t="s">
        <v>304</v>
      </c>
      <c r="D25" s="78" t="s">
        <v>84</v>
      </c>
      <c r="E25" s="78" t="s">
        <v>307</v>
      </c>
      <c r="F25" s="78" t="s">
        <v>285</v>
      </c>
      <c r="G25" s="2" t="s">
        <v>646</v>
      </c>
    </row>
    <row r="26" spans="2:7" ht="28.8">
      <c r="B26" s="100">
        <v>13</v>
      </c>
      <c r="C26" s="74" t="s">
        <v>304</v>
      </c>
      <c r="D26" s="78" t="s">
        <v>308</v>
      </c>
      <c r="E26" s="78" t="s">
        <v>155</v>
      </c>
      <c r="F26" s="78" t="s">
        <v>290</v>
      </c>
      <c r="G26" s="2" t="s">
        <v>610</v>
      </c>
    </row>
    <row r="27" spans="2:7" ht="43.2">
      <c r="B27" s="100">
        <v>14</v>
      </c>
      <c r="C27" s="74" t="s">
        <v>304</v>
      </c>
      <c r="D27" s="78" t="s">
        <v>601</v>
      </c>
      <c r="E27" s="78" t="s">
        <v>309</v>
      </c>
      <c r="F27" s="78" t="s">
        <v>288</v>
      </c>
      <c r="G27" s="2" t="s">
        <v>647</v>
      </c>
    </row>
    <row r="28" spans="2:7" ht="28.8">
      <c r="B28" s="100">
        <v>15</v>
      </c>
      <c r="C28" s="74" t="s">
        <v>304</v>
      </c>
      <c r="D28" s="78" t="s">
        <v>310</v>
      </c>
      <c r="E28" s="78" t="s">
        <v>311</v>
      </c>
      <c r="F28" s="78" t="s">
        <v>290</v>
      </c>
      <c r="G28" s="2" t="s">
        <v>648</v>
      </c>
    </row>
    <row r="29" spans="2:7" ht="43.2">
      <c r="B29" s="100">
        <v>16</v>
      </c>
      <c r="C29" s="74" t="s">
        <v>304</v>
      </c>
      <c r="D29" s="78" t="s">
        <v>312</v>
      </c>
      <c r="E29" s="78" t="s">
        <v>313</v>
      </c>
      <c r="F29" s="78" t="s">
        <v>290</v>
      </c>
      <c r="G29" s="2" t="s">
        <v>649</v>
      </c>
    </row>
    <row r="30" spans="2:7" ht="28.8">
      <c r="B30" s="100">
        <v>17</v>
      </c>
      <c r="C30" s="74" t="s">
        <v>297</v>
      </c>
      <c r="D30" s="78" t="s">
        <v>85</v>
      </c>
      <c r="E30" s="78" t="s">
        <v>314</v>
      </c>
      <c r="F30" s="78" t="s">
        <v>290</v>
      </c>
      <c r="G30" s="2" t="s">
        <v>615</v>
      </c>
    </row>
    <row r="31" spans="2:7" ht="28.8">
      <c r="B31" s="100">
        <v>18</v>
      </c>
      <c r="C31" s="74" t="s">
        <v>283</v>
      </c>
      <c r="D31" s="78" t="s">
        <v>86</v>
      </c>
      <c r="E31" s="78" t="s">
        <v>315</v>
      </c>
      <c r="F31" s="78" t="s">
        <v>316</v>
      </c>
      <c r="G31" s="2" t="s">
        <v>615</v>
      </c>
    </row>
    <row r="32" spans="2:7" ht="43.2">
      <c r="B32" s="100">
        <v>19</v>
      </c>
      <c r="C32" s="74" t="s">
        <v>283</v>
      </c>
      <c r="D32" s="78" t="s">
        <v>87</v>
      </c>
      <c r="E32" s="78" t="s">
        <v>317</v>
      </c>
      <c r="F32" s="78" t="s">
        <v>290</v>
      </c>
      <c r="G32" s="2" t="s">
        <v>616</v>
      </c>
    </row>
    <row r="33" spans="2:7">
      <c r="B33" s="100">
        <v>20</v>
      </c>
      <c r="C33" s="74" t="s">
        <v>318</v>
      </c>
      <c r="D33" s="78" t="s">
        <v>88</v>
      </c>
      <c r="E33" s="78" t="s">
        <v>319</v>
      </c>
      <c r="F33" s="78" t="s">
        <v>320</v>
      </c>
      <c r="G33" s="2" t="s">
        <v>617</v>
      </c>
    </row>
    <row r="34" spans="2:7" ht="28.8">
      <c r="B34" s="100">
        <v>21</v>
      </c>
      <c r="C34" s="74" t="s">
        <v>297</v>
      </c>
      <c r="D34" s="78" t="s">
        <v>89</v>
      </c>
      <c r="E34" s="78" t="s">
        <v>321</v>
      </c>
      <c r="F34" s="78" t="s">
        <v>290</v>
      </c>
      <c r="G34" s="2" t="s">
        <v>629</v>
      </c>
    </row>
    <row r="35" spans="2:7" ht="28.8">
      <c r="B35" s="100">
        <v>22</v>
      </c>
      <c r="C35" s="74" t="s">
        <v>297</v>
      </c>
      <c r="D35" s="78" t="s">
        <v>90</v>
      </c>
      <c r="E35" s="78" t="s">
        <v>322</v>
      </c>
      <c r="F35" s="78" t="s">
        <v>285</v>
      </c>
      <c r="G35" s="2" t="s">
        <v>618</v>
      </c>
    </row>
    <row r="36" spans="2:7" ht="43.2">
      <c r="B36" s="100">
        <v>23</v>
      </c>
      <c r="C36" s="74" t="s">
        <v>297</v>
      </c>
      <c r="D36" s="78" t="s">
        <v>91</v>
      </c>
      <c r="E36" s="78" t="s">
        <v>323</v>
      </c>
      <c r="F36" s="78" t="s">
        <v>285</v>
      </c>
      <c r="G36" s="2" t="s">
        <v>619</v>
      </c>
    </row>
    <row r="37" spans="2:7" ht="43.2">
      <c r="B37" s="100">
        <v>24</v>
      </c>
      <c r="C37" s="74" t="s">
        <v>297</v>
      </c>
      <c r="D37" s="78" t="s">
        <v>92</v>
      </c>
      <c r="E37" s="78" t="s">
        <v>324</v>
      </c>
      <c r="F37" s="78" t="s">
        <v>320</v>
      </c>
      <c r="G37" s="2" t="s">
        <v>616</v>
      </c>
    </row>
    <row r="38" spans="2:7" ht="28.8">
      <c r="B38" s="100">
        <v>25</v>
      </c>
      <c r="C38" s="74" t="s">
        <v>318</v>
      </c>
      <c r="D38" s="78" t="s">
        <v>93</v>
      </c>
      <c r="E38" s="78" t="s">
        <v>325</v>
      </c>
      <c r="F38" s="78" t="s">
        <v>320</v>
      </c>
      <c r="G38" s="2" t="s">
        <v>662</v>
      </c>
    </row>
    <row r="39" spans="2:7" ht="28.8">
      <c r="B39" s="100">
        <v>26</v>
      </c>
      <c r="C39" s="74" t="s">
        <v>297</v>
      </c>
      <c r="D39" s="78" t="s">
        <v>326</v>
      </c>
      <c r="E39" s="78" t="s">
        <v>327</v>
      </c>
      <c r="F39" s="78" t="s">
        <v>285</v>
      </c>
      <c r="G39" s="2" t="s">
        <v>662</v>
      </c>
    </row>
    <row r="40" spans="2:7" ht="28.8">
      <c r="B40" s="100">
        <v>27</v>
      </c>
      <c r="C40" s="74" t="s">
        <v>297</v>
      </c>
      <c r="D40" s="78" t="s">
        <v>328</v>
      </c>
      <c r="E40" s="78" t="s">
        <v>329</v>
      </c>
      <c r="F40" s="78" t="s">
        <v>290</v>
      </c>
      <c r="G40" s="2" t="s">
        <v>662</v>
      </c>
    </row>
    <row r="41" spans="2:7" ht="28.8">
      <c r="B41" s="100">
        <v>28</v>
      </c>
      <c r="C41" s="74" t="s">
        <v>297</v>
      </c>
      <c r="D41" s="78" t="s">
        <v>94</v>
      </c>
      <c r="E41" s="78" t="s">
        <v>330</v>
      </c>
      <c r="F41" s="78" t="s">
        <v>285</v>
      </c>
      <c r="G41" s="2" t="s">
        <v>621</v>
      </c>
    </row>
    <row r="42" spans="2:7" ht="28.8">
      <c r="B42" s="100">
        <v>29</v>
      </c>
      <c r="C42" s="74" t="s">
        <v>331</v>
      </c>
      <c r="D42" s="78" t="s">
        <v>332</v>
      </c>
      <c r="E42" s="78" t="s">
        <v>602</v>
      </c>
      <c r="F42" s="78" t="s">
        <v>333</v>
      </c>
      <c r="G42" s="2" t="s">
        <v>621</v>
      </c>
    </row>
    <row r="43" spans="2:7" ht="28.8">
      <c r="B43" s="100">
        <v>30</v>
      </c>
      <c r="C43" s="74" t="s">
        <v>297</v>
      </c>
      <c r="D43" s="78" t="s">
        <v>95</v>
      </c>
      <c r="E43" s="78" t="s">
        <v>334</v>
      </c>
      <c r="F43" s="78" t="s">
        <v>288</v>
      </c>
      <c r="G43" s="2" t="s">
        <v>622</v>
      </c>
    </row>
    <row r="44" spans="2:7" ht="28.8">
      <c r="B44" s="100">
        <v>31</v>
      </c>
      <c r="C44" s="74" t="s">
        <v>297</v>
      </c>
      <c r="D44" s="78" t="s">
        <v>96</v>
      </c>
      <c r="E44" s="78" t="s">
        <v>335</v>
      </c>
      <c r="F44" s="78" t="s">
        <v>290</v>
      </c>
      <c r="G44" s="2" t="s">
        <v>624</v>
      </c>
    </row>
    <row r="45" spans="2:7" ht="28.8">
      <c r="B45" s="100">
        <v>32</v>
      </c>
      <c r="C45" s="74" t="s">
        <v>297</v>
      </c>
      <c r="D45" s="78" t="s">
        <v>336</v>
      </c>
      <c r="E45" s="78" t="s">
        <v>337</v>
      </c>
      <c r="F45" s="78" t="s">
        <v>288</v>
      </c>
      <c r="G45" s="2" t="s">
        <v>670</v>
      </c>
    </row>
    <row r="46" spans="2:7" ht="28.8">
      <c r="B46" s="100">
        <v>33</v>
      </c>
      <c r="C46" s="74" t="s">
        <v>297</v>
      </c>
      <c r="D46" s="78" t="s">
        <v>338</v>
      </c>
      <c r="E46" s="78" t="s">
        <v>339</v>
      </c>
      <c r="F46" s="78" t="s">
        <v>288</v>
      </c>
      <c r="G46" s="2" t="s">
        <v>623</v>
      </c>
    </row>
    <row r="47" spans="2:7" ht="28.8">
      <c r="B47" s="100">
        <v>34</v>
      </c>
      <c r="C47" s="74" t="s">
        <v>283</v>
      </c>
      <c r="D47" s="78" t="s">
        <v>97</v>
      </c>
      <c r="E47" s="78" t="s">
        <v>340</v>
      </c>
      <c r="F47" s="78" t="s">
        <v>290</v>
      </c>
      <c r="G47" s="2" t="s">
        <v>624</v>
      </c>
    </row>
    <row r="48" spans="2:7">
      <c r="B48" s="100">
        <v>35</v>
      </c>
      <c r="C48" s="74" t="s">
        <v>297</v>
      </c>
      <c r="D48" s="78" t="s">
        <v>98</v>
      </c>
      <c r="E48" s="78" t="s">
        <v>341</v>
      </c>
      <c r="F48" s="78" t="s">
        <v>290</v>
      </c>
      <c r="G48" s="2" t="s">
        <v>624</v>
      </c>
    </row>
    <row r="49" spans="2:7" ht="28.8">
      <c r="B49" s="100">
        <v>36</v>
      </c>
      <c r="C49" s="74" t="s">
        <v>304</v>
      </c>
      <c r="D49" s="78" t="s">
        <v>99</v>
      </c>
      <c r="E49" s="78" t="s">
        <v>342</v>
      </c>
      <c r="F49" s="78" t="s">
        <v>290</v>
      </c>
      <c r="G49" s="2" t="s">
        <v>623</v>
      </c>
    </row>
    <row r="50" spans="2:7" ht="28.8">
      <c r="B50" s="100">
        <v>37</v>
      </c>
      <c r="C50" s="74" t="s">
        <v>297</v>
      </c>
      <c r="D50" s="78" t="s">
        <v>100</v>
      </c>
      <c r="E50" s="78" t="s">
        <v>343</v>
      </c>
      <c r="F50" s="78" t="s">
        <v>290</v>
      </c>
      <c r="G50" s="2" t="s">
        <v>671</v>
      </c>
    </row>
    <row r="51" spans="2:7" ht="28.8">
      <c r="B51" s="100">
        <v>38</v>
      </c>
      <c r="C51" s="74" t="s">
        <v>297</v>
      </c>
      <c r="D51" s="78" t="s">
        <v>101</v>
      </c>
      <c r="E51" s="78" t="s">
        <v>344</v>
      </c>
      <c r="F51" s="78" t="s">
        <v>290</v>
      </c>
      <c r="G51" s="2" t="s">
        <v>673</v>
      </c>
    </row>
    <row r="52" spans="2:7" ht="28.8">
      <c r="B52" s="100">
        <v>39</v>
      </c>
      <c r="C52" s="74" t="s">
        <v>297</v>
      </c>
      <c r="D52" s="78" t="s">
        <v>102</v>
      </c>
      <c r="E52" s="78" t="s">
        <v>345</v>
      </c>
      <c r="F52" s="78" t="s">
        <v>290</v>
      </c>
      <c r="G52" s="2" t="s">
        <v>623</v>
      </c>
    </row>
    <row r="53" spans="2:7" ht="28.8">
      <c r="B53" s="100">
        <v>40</v>
      </c>
      <c r="C53" s="74" t="s">
        <v>297</v>
      </c>
      <c r="D53" s="78" t="s">
        <v>346</v>
      </c>
      <c r="E53" s="78" t="s">
        <v>347</v>
      </c>
      <c r="F53" s="78" t="s">
        <v>285</v>
      </c>
      <c r="G53" s="2" t="s">
        <v>686</v>
      </c>
    </row>
    <row r="54" spans="2:7" ht="28.8">
      <c r="B54" s="100">
        <v>41</v>
      </c>
      <c r="C54" s="74" t="s">
        <v>297</v>
      </c>
      <c r="D54" s="78" t="s">
        <v>348</v>
      </c>
      <c r="E54" s="78" t="s">
        <v>349</v>
      </c>
      <c r="F54" s="78" t="s">
        <v>295</v>
      </c>
      <c r="G54" s="2" t="s">
        <v>672</v>
      </c>
    </row>
    <row r="55" spans="2:7" ht="43.2">
      <c r="B55" s="100">
        <v>42</v>
      </c>
      <c r="C55" s="74" t="s">
        <v>350</v>
      </c>
      <c r="D55" s="78" t="s">
        <v>103</v>
      </c>
      <c r="E55" s="78" t="s">
        <v>351</v>
      </c>
      <c r="F55" s="78" t="s">
        <v>285</v>
      </c>
      <c r="G55" s="2" t="s">
        <v>692</v>
      </c>
    </row>
    <row r="56" spans="2:7" ht="28.8">
      <c r="B56" s="100">
        <v>43</v>
      </c>
      <c r="C56" s="74" t="s">
        <v>350</v>
      </c>
      <c r="D56" s="78" t="s">
        <v>352</v>
      </c>
      <c r="E56" s="78" t="s">
        <v>353</v>
      </c>
      <c r="F56" s="78" t="s">
        <v>290</v>
      </c>
      <c r="G56" s="2" t="s">
        <v>692</v>
      </c>
    </row>
    <row r="57" spans="2:7" ht="28.8">
      <c r="B57" s="100">
        <v>44</v>
      </c>
      <c r="C57" s="74" t="s">
        <v>300</v>
      </c>
      <c r="D57" s="78" t="s">
        <v>104</v>
      </c>
      <c r="E57" s="78" t="s">
        <v>354</v>
      </c>
      <c r="F57" s="78" t="s">
        <v>285</v>
      </c>
      <c r="G57" s="2" t="s">
        <v>653</v>
      </c>
    </row>
    <row r="58" spans="2:7" ht="28.8">
      <c r="B58" s="100">
        <v>45</v>
      </c>
      <c r="C58" s="74" t="s">
        <v>300</v>
      </c>
      <c r="D58" s="78" t="s">
        <v>355</v>
      </c>
      <c r="E58" s="78" t="s">
        <v>356</v>
      </c>
      <c r="F58" s="78" t="s">
        <v>295</v>
      </c>
      <c r="G58" s="78" t="s">
        <v>164</v>
      </c>
    </row>
    <row r="59" spans="2:7" ht="28.8">
      <c r="B59" s="100">
        <v>46</v>
      </c>
      <c r="C59" s="74" t="s">
        <v>300</v>
      </c>
      <c r="D59" s="78" t="s">
        <v>105</v>
      </c>
      <c r="E59" s="78" t="s">
        <v>357</v>
      </c>
      <c r="F59" s="78" t="s">
        <v>295</v>
      </c>
      <c r="G59" s="2" t="s">
        <v>654</v>
      </c>
    </row>
    <row r="60" spans="2:7" ht="28.8">
      <c r="B60" s="100">
        <v>47</v>
      </c>
      <c r="C60" s="74" t="s">
        <v>300</v>
      </c>
      <c r="D60" s="78" t="s">
        <v>358</v>
      </c>
      <c r="E60" s="78" t="s">
        <v>359</v>
      </c>
      <c r="F60" s="78" t="s">
        <v>290</v>
      </c>
      <c r="G60" s="2" t="s">
        <v>657</v>
      </c>
    </row>
    <row r="61" spans="2:7" ht="28.8">
      <c r="B61" s="100">
        <v>48</v>
      </c>
      <c r="C61" s="74" t="s">
        <v>300</v>
      </c>
      <c r="D61" s="78" t="s">
        <v>106</v>
      </c>
      <c r="E61" s="78" t="s">
        <v>360</v>
      </c>
      <c r="F61" s="78" t="s">
        <v>290</v>
      </c>
      <c r="G61" s="2" t="s">
        <v>658</v>
      </c>
    </row>
    <row r="62" spans="2:7" ht="28.8">
      <c r="B62" s="100">
        <v>49</v>
      </c>
      <c r="C62" s="74" t="s">
        <v>300</v>
      </c>
      <c r="D62" s="78" t="s">
        <v>361</v>
      </c>
      <c r="E62" s="78" t="s">
        <v>362</v>
      </c>
      <c r="F62" s="78" t="s">
        <v>290</v>
      </c>
      <c r="G62" s="2" t="s">
        <v>654</v>
      </c>
    </row>
    <row r="63" spans="2:7" ht="28.8">
      <c r="B63" s="100">
        <v>50</v>
      </c>
      <c r="C63" s="74" t="s">
        <v>297</v>
      </c>
      <c r="D63" s="78" t="s">
        <v>107</v>
      </c>
      <c r="E63" s="78" t="s">
        <v>363</v>
      </c>
      <c r="F63" s="78" t="s">
        <v>285</v>
      </c>
      <c r="G63" s="2" t="s">
        <v>660</v>
      </c>
    </row>
    <row r="64" spans="2:7" ht="28.8">
      <c r="B64" s="100">
        <v>51</v>
      </c>
      <c r="C64" s="74" t="s">
        <v>300</v>
      </c>
      <c r="D64" s="78" t="s">
        <v>108</v>
      </c>
      <c r="E64" s="78" t="s">
        <v>364</v>
      </c>
      <c r="F64" s="78" t="s">
        <v>295</v>
      </c>
      <c r="G64" s="2" t="s">
        <v>663</v>
      </c>
    </row>
    <row r="65" spans="2:7" ht="28.8">
      <c r="B65" s="100">
        <v>52</v>
      </c>
      <c r="C65" s="74" t="s">
        <v>331</v>
      </c>
      <c r="D65" s="78" t="s">
        <v>365</v>
      </c>
      <c r="E65" s="78" t="s">
        <v>366</v>
      </c>
      <c r="F65" s="78" t="s">
        <v>285</v>
      </c>
      <c r="G65" s="2" t="s">
        <v>664</v>
      </c>
    </row>
    <row r="66" spans="2:7" ht="28.8">
      <c r="B66" s="100">
        <v>53</v>
      </c>
      <c r="C66" s="74" t="s">
        <v>300</v>
      </c>
      <c r="D66" s="78" t="s">
        <v>367</v>
      </c>
      <c r="E66" s="78" t="s">
        <v>368</v>
      </c>
      <c r="F66" s="78" t="s">
        <v>316</v>
      </c>
      <c r="G66" s="2" t="s">
        <v>665</v>
      </c>
    </row>
    <row r="67" spans="2:7" ht="28.8">
      <c r="B67" s="100">
        <v>54</v>
      </c>
      <c r="C67" s="74" t="s">
        <v>318</v>
      </c>
      <c r="D67" s="78" t="s">
        <v>109</v>
      </c>
      <c r="E67" s="78" t="s">
        <v>369</v>
      </c>
      <c r="F67" s="78" t="s">
        <v>288</v>
      </c>
      <c r="G67" s="2" t="s">
        <v>662</v>
      </c>
    </row>
    <row r="68" spans="2:7" ht="28.8">
      <c r="B68" s="100">
        <v>55</v>
      </c>
      <c r="C68" s="74" t="s">
        <v>318</v>
      </c>
      <c r="D68" s="78" t="s">
        <v>110</v>
      </c>
      <c r="E68" s="78" t="s">
        <v>370</v>
      </c>
      <c r="F68" s="78" t="s">
        <v>288</v>
      </c>
      <c r="G68" s="2" t="s">
        <v>661</v>
      </c>
    </row>
    <row r="69" spans="2:7" ht="28.8">
      <c r="B69" s="100">
        <v>56</v>
      </c>
      <c r="C69" s="74" t="s">
        <v>297</v>
      </c>
      <c r="D69" s="78" t="s">
        <v>111</v>
      </c>
      <c r="E69" s="78" t="s">
        <v>371</v>
      </c>
      <c r="F69" s="78" t="s">
        <v>285</v>
      </c>
      <c r="G69" s="2" t="s">
        <v>666</v>
      </c>
    </row>
    <row r="70" spans="2:7" ht="28.8">
      <c r="B70" s="100">
        <v>57</v>
      </c>
      <c r="C70" s="74" t="s">
        <v>297</v>
      </c>
      <c r="D70" s="78" t="s">
        <v>372</v>
      </c>
      <c r="E70" s="78" t="s">
        <v>373</v>
      </c>
      <c r="F70" s="78" t="s">
        <v>320</v>
      </c>
      <c r="G70" s="2" t="s">
        <v>669</v>
      </c>
    </row>
    <row r="71" spans="2:7" ht="28.8">
      <c r="B71" s="100">
        <v>58</v>
      </c>
      <c r="C71" s="74" t="s">
        <v>297</v>
      </c>
      <c r="D71" s="78" t="s">
        <v>112</v>
      </c>
      <c r="E71" s="78" t="s">
        <v>374</v>
      </c>
      <c r="F71" s="78" t="s">
        <v>320</v>
      </c>
      <c r="G71" s="2" t="s">
        <v>659</v>
      </c>
    </row>
    <row r="72" spans="2:7" ht="28.8">
      <c r="B72" s="100">
        <v>59</v>
      </c>
      <c r="C72" s="74" t="s">
        <v>291</v>
      </c>
      <c r="D72" s="78" t="s">
        <v>375</v>
      </c>
      <c r="E72" s="78" t="s">
        <v>156</v>
      </c>
      <c r="F72" s="78" t="s">
        <v>288</v>
      </c>
      <c r="G72" s="2" t="s">
        <v>643</v>
      </c>
    </row>
    <row r="73" spans="2:7" ht="43.2">
      <c r="B73" s="100">
        <v>60</v>
      </c>
      <c r="C73" s="74" t="s">
        <v>291</v>
      </c>
      <c r="D73" s="78" t="s">
        <v>376</v>
      </c>
      <c r="E73" s="78" t="s">
        <v>377</v>
      </c>
      <c r="F73" s="78" t="s">
        <v>320</v>
      </c>
      <c r="G73" s="2" t="s">
        <v>700</v>
      </c>
    </row>
    <row r="74" spans="2:7" ht="28.8">
      <c r="B74" s="100">
        <v>61</v>
      </c>
      <c r="C74" s="74" t="s">
        <v>318</v>
      </c>
      <c r="D74" s="78" t="s">
        <v>113</v>
      </c>
      <c r="E74" s="78" t="s">
        <v>378</v>
      </c>
      <c r="F74" s="78" t="s">
        <v>333</v>
      </c>
      <c r="G74" s="2" t="s">
        <v>674</v>
      </c>
    </row>
    <row r="75" spans="2:7" ht="43.2">
      <c r="B75" s="100">
        <v>62</v>
      </c>
      <c r="C75" s="74" t="s">
        <v>350</v>
      </c>
      <c r="D75" s="78" t="s">
        <v>379</v>
      </c>
      <c r="E75" s="78" t="s">
        <v>157</v>
      </c>
      <c r="F75" s="78" t="s">
        <v>288</v>
      </c>
      <c r="G75" s="2" t="s">
        <v>699</v>
      </c>
    </row>
    <row r="76" spans="2:7" ht="28.8">
      <c r="B76" s="100">
        <v>63</v>
      </c>
      <c r="C76" s="74" t="s">
        <v>297</v>
      </c>
      <c r="D76" s="78" t="s">
        <v>114</v>
      </c>
      <c r="E76" s="78" t="s">
        <v>380</v>
      </c>
      <c r="F76" s="78" t="s">
        <v>290</v>
      </c>
      <c r="G76" s="2" t="s">
        <v>629</v>
      </c>
    </row>
    <row r="77" spans="2:7" ht="28.8">
      <c r="B77" s="100">
        <v>64</v>
      </c>
      <c r="C77" s="74" t="s">
        <v>297</v>
      </c>
      <c r="D77" s="78" t="s">
        <v>381</v>
      </c>
      <c r="E77" s="78" t="s">
        <v>382</v>
      </c>
      <c r="F77" s="78" t="s">
        <v>288</v>
      </c>
      <c r="G77" s="2" t="s">
        <v>675</v>
      </c>
    </row>
    <row r="78" spans="2:7">
      <c r="B78" s="100">
        <v>65</v>
      </c>
      <c r="C78" s="74" t="s">
        <v>297</v>
      </c>
      <c r="D78" s="78" t="s">
        <v>383</v>
      </c>
      <c r="E78" s="78" t="s">
        <v>384</v>
      </c>
      <c r="F78" s="78" t="s">
        <v>285</v>
      </c>
      <c r="G78" s="2" t="s">
        <v>681</v>
      </c>
    </row>
    <row r="79" spans="2:7" ht="28.8">
      <c r="B79" s="100">
        <v>66</v>
      </c>
      <c r="C79" s="74" t="s">
        <v>350</v>
      </c>
      <c r="D79" s="78" t="s">
        <v>115</v>
      </c>
      <c r="E79" s="78" t="s">
        <v>385</v>
      </c>
      <c r="F79" s="78" t="s">
        <v>288</v>
      </c>
      <c r="G79" s="2" t="s">
        <v>683</v>
      </c>
    </row>
    <row r="80" spans="2:7" ht="28.8">
      <c r="B80" s="100">
        <v>67</v>
      </c>
      <c r="C80" s="74" t="s">
        <v>350</v>
      </c>
      <c r="D80" s="78" t="s">
        <v>116</v>
      </c>
      <c r="E80" s="78" t="s">
        <v>386</v>
      </c>
      <c r="F80" s="78" t="s">
        <v>288</v>
      </c>
      <c r="G80" s="2" t="s">
        <v>683</v>
      </c>
    </row>
    <row r="81" spans="2:7">
      <c r="B81" s="100">
        <v>68</v>
      </c>
      <c r="C81" s="74" t="s">
        <v>297</v>
      </c>
      <c r="D81" s="78" t="s">
        <v>387</v>
      </c>
      <c r="E81" s="78" t="s">
        <v>158</v>
      </c>
      <c r="F81" s="78" t="s">
        <v>320</v>
      </c>
      <c r="G81" s="2" t="s">
        <v>683</v>
      </c>
    </row>
    <row r="82" spans="2:7" ht="28.8">
      <c r="B82" s="100">
        <v>69</v>
      </c>
      <c r="C82" s="74" t="s">
        <v>291</v>
      </c>
      <c r="D82" s="78" t="s">
        <v>117</v>
      </c>
      <c r="E82" s="78" t="s">
        <v>388</v>
      </c>
      <c r="F82" s="78" t="s">
        <v>288</v>
      </c>
      <c r="G82" s="2" t="s">
        <v>685</v>
      </c>
    </row>
    <row r="83" spans="2:7" ht="28.8">
      <c r="B83" s="100">
        <v>70</v>
      </c>
      <c r="C83" s="74" t="s">
        <v>291</v>
      </c>
      <c r="D83" s="78" t="s">
        <v>118</v>
      </c>
      <c r="E83" s="78" t="s">
        <v>389</v>
      </c>
      <c r="F83" s="78" t="s">
        <v>288</v>
      </c>
      <c r="G83" s="2" t="s">
        <v>629</v>
      </c>
    </row>
    <row r="84" spans="2:7" ht="43.2">
      <c r="B84" s="100">
        <v>71</v>
      </c>
      <c r="C84" s="74" t="s">
        <v>350</v>
      </c>
      <c r="D84" s="78" t="s">
        <v>119</v>
      </c>
      <c r="E84" s="78" t="s">
        <v>390</v>
      </c>
      <c r="F84" s="78" t="s">
        <v>290</v>
      </c>
      <c r="G84" s="2" t="s">
        <v>687</v>
      </c>
    </row>
    <row r="85" spans="2:7" ht="28.8">
      <c r="B85" s="100">
        <v>72</v>
      </c>
      <c r="C85" s="74" t="s">
        <v>350</v>
      </c>
      <c r="D85" s="78" t="s">
        <v>391</v>
      </c>
      <c r="E85" s="78" t="s">
        <v>392</v>
      </c>
      <c r="F85" s="78" t="s">
        <v>290</v>
      </c>
      <c r="G85" s="2" t="s">
        <v>676</v>
      </c>
    </row>
    <row r="86" spans="2:7" ht="28.8">
      <c r="B86" s="100">
        <v>73</v>
      </c>
      <c r="C86" s="74" t="s">
        <v>350</v>
      </c>
      <c r="D86" s="78" t="s">
        <v>120</v>
      </c>
      <c r="E86" s="78" t="s">
        <v>393</v>
      </c>
      <c r="F86" s="78" t="s">
        <v>290</v>
      </c>
      <c r="G86" s="2" t="s">
        <v>687</v>
      </c>
    </row>
    <row r="87" spans="2:7" ht="28.8">
      <c r="B87" s="100">
        <v>74</v>
      </c>
      <c r="C87" s="74" t="s">
        <v>283</v>
      </c>
      <c r="D87" s="78" t="s">
        <v>394</v>
      </c>
      <c r="E87" s="78" t="s">
        <v>395</v>
      </c>
      <c r="F87" s="78" t="s">
        <v>288</v>
      </c>
      <c r="G87" s="2" t="s">
        <v>702</v>
      </c>
    </row>
    <row r="88" spans="2:7" ht="28.8">
      <c r="B88" s="100">
        <v>75</v>
      </c>
      <c r="C88" s="74" t="s">
        <v>331</v>
      </c>
      <c r="D88" s="78" t="s">
        <v>396</v>
      </c>
      <c r="E88" s="78" t="s">
        <v>159</v>
      </c>
      <c r="F88" s="78" t="s">
        <v>333</v>
      </c>
      <c r="G88" s="2" t="s">
        <v>688</v>
      </c>
    </row>
    <row r="89" spans="2:7" ht="43.2">
      <c r="B89" s="100">
        <v>76</v>
      </c>
      <c r="C89" s="74" t="s">
        <v>331</v>
      </c>
      <c r="D89" s="78" t="s">
        <v>121</v>
      </c>
      <c r="E89" s="78" t="s">
        <v>397</v>
      </c>
      <c r="F89" s="78" t="s">
        <v>320</v>
      </c>
      <c r="G89" s="2" t="s">
        <v>689</v>
      </c>
    </row>
    <row r="90" spans="2:7" ht="43.2">
      <c r="B90" s="100">
        <v>77</v>
      </c>
      <c r="C90" s="74" t="s">
        <v>331</v>
      </c>
      <c r="D90" s="78" t="s">
        <v>398</v>
      </c>
      <c r="E90" s="78" t="s">
        <v>160</v>
      </c>
      <c r="F90" s="78" t="s">
        <v>288</v>
      </c>
      <c r="G90" s="2" t="s">
        <v>690</v>
      </c>
    </row>
    <row r="91" spans="2:7" ht="28.8">
      <c r="B91" s="100">
        <v>78</v>
      </c>
      <c r="C91" s="74" t="s">
        <v>331</v>
      </c>
      <c r="D91" s="78" t="s">
        <v>399</v>
      </c>
      <c r="E91" s="78" t="s">
        <v>161</v>
      </c>
      <c r="F91" s="78" t="s">
        <v>288</v>
      </c>
      <c r="G91" s="2" t="s">
        <v>688</v>
      </c>
    </row>
    <row r="92" spans="2:7" ht="28.8">
      <c r="B92" s="100">
        <v>79</v>
      </c>
      <c r="C92" s="74" t="s">
        <v>297</v>
      </c>
      <c r="D92" s="78" t="s">
        <v>122</v>
      </c>
      <c r="E92" s="78" t="s">
        <v>400</v>
      </c>
      <c r="F92" s="78" t="s">
        <v>288</v>
      </c>
      <c r="G92" s="2" t="s">
        <v>620</v>
      </c>
    </row>
    <row r="93" spans="2:7" ht="28.8">
      <c r="B93" s="100">
        <v>80</v>
      </c>
      <c r="C93" s="74" t="s">
        <v>297</v>
      </c>
      <c r="D93" s="78" t="s">
        <v>401</v>
      </c>
      <c r="E93" s="78" t="s">
        <v>162</v>
      </c>
      <c r="F93" s="78" t="s">
        <v>320</v>
      </c>
      <c r="G93" s="2" t="s">
        <v>620</v>
      </c>
    </row>
    <row r="94" spans="2:7" ht="28.8">
      <c r="B94" s="100">
        <v>81</v>
      </c>
      <c r="C94" s="74" t="s">
        <v>297</v>
      </c>
      <c r="D94" s="78" t="s">
        <v>402</v>
      </c>
      <c r="E94" s="78" t="s">
        <v>403</v>
      </c>
      <c r="F94" s="78" t="s">
        <v>288</v>
      </c>
      <c r="G94" s="2" t="s">
        <v>620</v>
      </c>
    </row>
    <row r="95" spans="2:7" ht="28.8">
      <c r="B95" s="100">
        <v>82</v>
      </c>
      <c r="C95" s="74" t="s">
        <v>297</v>
      </c>
      <c r="D95" s="78" t="s">
        <v>123</v>
      </c>
      <c r="E95" s="78" t="s">
        <v>404</v>
      </c>
      <c r="F95" s="78" t="s">
        <v>320</v>
      </c>
      <c r="G95" s="2" t="s">
        <v>650</v>
      </c>
    </row>
    <row r="96" spans="2:7" ht="28.8">
      <c r="B96" s="100">
        <v>83</v>
      </c>
      <c r="C96" s="74" t="s">
        <v>297</v>
      </c>
      <c r="D96" s="78" t="s">
        <v>405</v>
      </c>
      <c r="E96" s="78" t="s">
        <v>163</v>
      </c>
      <c r="F96" s="78" t="s">
        <v>320</v>
      </c>
      <c r="G96" s="2" t="s">
        <v>614</v>
      </c>
    </row>
    <row r="97" spans="2:7" ht="28.8">
      <c r="B97" s="100">
        <v>84</v>
      </c>
      <c r="C97" s="74" t="s">
        <v>297</v>
      </c>
      <c r="D97" s="78" t="s">
        <v>124</v>
      </c>
      <c r="E97" s="78" t="s">
        <v>406</v>
      </c>
      <c r="F97" s="78" t="s">
        <v>288</v>
      </c>
      <c r="G97" s="2" t="s">
        <v>694</v>
      </c>
    </row>
    <row r="98" spans="2:7" ht="28.8">
      <c r="B98" s="100">
        <v>85</v>
      </c>
      <c r="C98" s="74" t="s">
        <v>297</v>
      </c>
      <c r="D98" s="78" t="s">
        <v>407</v>
      </c>
      <c r="E98" s="78" t="s">
        <v>408</v>
      </c>
      <c r="F98" s="78" t="s">
        <v>288</v>
      </c>
      <c r="G98" s="2" t="s">
        <v>694</v>
      </c>
    </row>
    <row r="99" spans="2:7" ht="28.8">
      <c r="B99" s="100">
        <v>86</v>
      </c>
      <c r="C99" s="74" t="s">
        <v>350</v>
      </c>
      <c r="D99" s="78" t="s">
        <v>125</v>
      </c>
      <c r="E99" s="78" t="s">
        <v>409</v>
      </c>
      <c r="F99" s="78" t="s">
        <v>333</v>
      </c>
      <c r="G99" s="2" t="s">
        <v>693</v>
      </c>
    </row>
    <row r="100" spans="2:7" ht="28.8">
      <c r="B100" s="100">
        <v>87</v>
      </c>
      <c r="C100" s="74" t="s">
        <v>350</v>
      </c>
      <c r="D100" s="78" t="s">
        <v>126</v>
      </c>
      <c r="E100" s="78" t="s">
        <v>410</v>
      </c>
      <c r="F100" s="78" t="s">
        <v>333</v>
      </c>
      <c r="G100" s="2" t="s">
        <v>700</v>
      </c>
    </row>
    <row r="101" spans="2:7" ht="28.8">
      <c r="B101" s="100">
        <v>88</v>
      </c>
      <c r="C101" s="74" t="s">
        <v>350</v>
      </c>
      <c r="D101" s="78" t="s">
        <v>127</v>
      </c>
      <c r="E101" s="78" t="s">
        <v>411</v>
      </c>
      <c r="F101" s="78" t="s">
        <v>288</v>
      </c>
      <c r="G101" s="2" t="s">
        <v>700</v>
      </c>
    </row>
    <row r="102" spans="2:7" ht="28.8">
      <c r="B102" s="100">
        <v>89</v>
      </c>
      <c r="C102" s="74" t="s">
        <v>350</v>
      </c>
      <c r="D102" s="78" t="s">
        <v>128</v>
      </c>
      <c r="E102" s="78" t="s">
        <v>412</v>
      </c>
      <c r="F102" s="78" t="s">
        <v>288</v>
      </c>
      <c r="G102" s="2" t="s">
        <v>700</v>
      </c>
    </row>
    <row r="103" spans="2:7" ht="43.2">
      <c r="B103" s="100">
        <v>90</v>
      </c>
      <c r="C103" s="74" t="s">
        <v>350</v>
      </c>
      <c r="D103" s="78" t="s">
        <v>413</v>
      </c>
      <c r="E103" s="78" t="s">
        <v>414</v>
      </c>
      <c r="F103" s="78" t="s">
        <v>288</v>
      </c>
      <c r="G103" s="2" t="s">
        <v>695</v>
      </c>
    </row>
    <row r="104" spans="2:7" ht="43.2">
      <c r="B104" s="100">
        <v>91</v>
      </c>
      <c r="C104" s="74" t="s">
        <v>350</v>
      </c>
      <c r="D104" s="78" t="s">
        <v>415</v>
      </c>
      <c r="E104" s="78" t="s">
        <v>416</v>
      </c>
      <c r="F104" s="78" t="s">
        <v>288</v>
      </c>
      <c r="G104" s="2" t="s">
        <v>699</v>
      </c>
    </row>
    <row r="105" spans="2:7" ht="28.8">
      <c r="B105" s="100">
        <v>92</v>
      </c>
      <c r="C105" s="74" t="s">
        <v>350</v>
      </c>
      <c r="D105" s="78" t="s">
        <v>417</v>
      </c>
      <c r="E105" s="78" t="s">
        <v>418</v>
      </c>
      <c r="F105" s="78" t="s">
        <v>288</v>
      </c>
      <c r="G105" s="2" t="s">
        <v>698</v>
      </c>
    </row>
    <row r="106" spans="2:7" ht="28.8">
      <c r="B106" s="100">
        <v>93</v>
      </c>
      <c r="C106" s="74" t="s">
        <v>350</v>
      </c>
      <c r="D106" s="78" t="s">
        <v>129</v>
      </c>
      <c r="E106" s="78" t="s">
        <v>419</v>
      </c>
      <c r="F106" s="78" t="s">
        <v>288</v>
      </c>
      <c r="G106" s="2" t="s">
        <v>697</v>
      </c>
    </row>
    <row r="107" spans="2:7" ht="28.8">
      <c r="B107" s="100">
        <v>94</v>
      </c>
      <c r="C107" s="74" t="s">
        <v>350</v>
      </c>
      <c r="D107" s="78" t="s">
        <v>130</v>
      </c>
      <c r="E107" s="78" t="s">
        <v>420</v>
      </c>
      <c r="F107" s="78" t="s">
        <v>288</v>
      </c>
      <c r="G107" s="2" t="s">
        <v>697</v>
      </c>
    </row>
    <row r="108" spans="2:7" ht="28.8">
      <c r="B108" s="100">
        <v>95</v>
      </c>
      <c r="C108" s="74" t="s">
        <v>297</v>
      </c>
      <c r="D108" s="78" t="s">
        <v>131</v>
      </c>
      <c r="E108" s="78" t="s">
        <v>421</v>
      </c>
      <c r="F108" s="78" t="s">
        <v>288</v>
      </c>
      <c r="G108" s="2" t="s">
        <v>701</v>
      </c>
    </row>
    <row r="109" spans="2:7" ht="28.8">
      <c r="B109" s="100">
        <v>96</v>
      </c>
      <c r="C109" s="74" t="s">
        <v>283</v>
      </c>
      <c r="D109" s="78" t="s">
        <v>132</v>
      </c>
      <c r="E109" s="74" t="s">
        <v>422</v>
      </c>
      <c r="F109" s="78" t="s">
        <v>288</v>
      </c>
      <c r="G109" s="2" t="s">
        <v>625</v>
      </c>
    </row>
    <row r="110" spans="2:7" ht="43.2">
      <c r="B110" s="100">
        <v>97</v>
      </c>
      <c r="C110" s="74" t="s">
        <v>283</v>
      </c>
      <c r="D110" s="78" t="s">
        <v>133</v>
      </c>
      <c r="E110" s="78" t="s">
        <v>423</v>
      </c>
      <c r="F110" s="78" t="s">
        <v>288</v>
      </c>
      <c r="G110" s="2" t="s">
        <v>626</v>
      </c>
    </row>
    <row r="111" spans="2:7" ht="28.8">
      <c r="B111" s="100">
        <v>98</v>
      </c>
      <c r="C111" s="74" t="s">
        <v>283</v>
      </c>
      <c r="D111" s="78" t="s">
        <v>134</v>
      </c>
      <c r="E111" s="78" t="s">
        <v>424</v>
      </c>
      <c r="F111" s="78" t="s">
        <v>288</v>
      </c>
      <c r="G111" s="2" t="s">
        <v>627</v>
      </c>
    </row>
    <row r="112" spans="2:7" ht="43.2">
      <c r="B112" s="100">
        <v>99</v>
      </c>
      <c r="C112" s="74" t="s">
        <v>283</v>
      </c>
      <c r="D112" s="78" t="s">
        <v>135</v>
      </c>
      <c r="E112" s="78" t="s">
        <v>425</v>
      </c>
      <c r="F112" s="78" t="s">
        <v>288</v>
      </c>
      <c r="G112" s="2" t="s">
        <v>628</v>
      </c>
    </row>
    <row r="113" spans="2:7" ht="43.2">
      <c r="B113" s="100">
        <v>100</v>
      </c>
      <c r="C113" s="74" t="s">
        <v>283</v>
      </c>
      <c r="D113" s="78" t="s">
        <v>426</v>
      </c>
      <c r="E113" s="78" t="s">
        <v>427</v>
      </c>
      <c r="F113" s="78" t="s">
        <v>288</v>
      </c>
      <c r="G113" s="2" t="s">
        <v>628</v>
      </c>
    </row>
    <row r="114" spans="2:7" ht="43.2">
      <c r="B114" s="100">
        <v>101</v>
      </c>
      <c r="C114" s="74" t="s">
        <v>297</v>
      </c>
      <c r="D114" s="78" t="s">
        <v>136</v>
      </c>
      <c r="E114" s="78" t="s">
        <v>428</v>
      </c>
      <c r="F114" s="78" t="s">
        <v>288</v>
      </c>
      <c r="G114" s="2" t="s">
        <v>630</v>
      </c>
    </row>
    <row r="115" spans="2:7" ht="28.8">
      <c r="B115" s="100">
        <v>102</v>
      </c>
      <c r="C115" s="74" t="s">
        <v>297</v>
      </c>
      <c r="D115" s="78" t="s">
        <v>137</v>
      </c>
      <c r="E115" s="78" t="s">
        <v>429</v>
      </c>
      <c r="F115" s="78" t="s">
        <v>285</v>
      </c>
      <c r="G115" s="2" t="s">
        <v>652</v>
      </c>
    </row>
    <row r="116" spans="2:7" ht="28.8">
      <c r="B116" s="100">
        <v>103</v>
      </c>
      <c r="C116" s="74" t="s">
        <v>297</v>
      </c>
      <c r="D116" s="78" t="s">
        <v>138</v>
      </c>
      <c r="E116" s="78" t="s">
        <v>430</v>
      </c>
      <c r="F116" s="78" t="s">
        <v>288</v>
      </c>
      <c r="G116" s="2" t="s">
        <v>652</v>
      </c>
    </row>
    <row r="117" spans="2:7" ht="28.8">
      <c r="B117" s="100">
        <v>104</v>
      </c>
      <c r="C117" s="74" t="s">
        <v>297</v>
      </c>
      <c r="D117" s="78" t="s">
        <v>139</v>
      </c>
      <c r="E117" s="78" t="s">
        <v>431</v>
      </c>
      <c r="F117" s="78" t="s">
        <v>320</v>
      </c>
      <c r="G117" s="2" t="s">
        <v>631</v>
      </c>
    </row>
    <row r="118" spans="2:7" ht="28.8">
      <c r="B118" s="100">
        <v>105</v>
      </c>
      <c r="C118" s="74" t="s">
        <v>297</v>
      </c>
      <c r="D118" s="78" t="s">
        <v>140</v>
      </c>
      <c r="E118" s="74" t="s">
        <v>432</v>
      </c>
      <c r="F118" s="78" t="s">
        <v>288</v>
      </c>
      <c r="G118" s="2" t="s">
        <v>632</v>
      </c>
    </row>
    <row r="119" spans="2:7" ht="28.8">
      <c r="B119" s="100">
        <v>106</v>
      </c>
      <c r="C119" s="74" t="s">
        <v>297</v>
      </c>
      <c r="D119" s="78" t="s">
        <v>141</v>
      </c>
      <c r="E119" s="78" t="s">
        <v>433</v>
      </c>
      <c r="F119" s="78" t="s">
        <v>288</v>
      </c>
      <c r="G119" s="2" t="s">
        <v>633</v>
      </c>
    </row>
    <row r="120" spans="2:7" ht="43.2">
      <c r="B120" s="100">
        <v>107</v>
      </c>
      <c r="C120" s="74" t="s">
        <v>297</v>
      </c>
      <c r="D120" s="78" t="s">
        <v>142</v>
      </c>
      <c r="E120" s="78" t="s">
        <v>434</v>
      </c>
      <c r="F120" s="78" t="s">
        <v>320</v>
      </c>
      <c r="G120" s="2" t="s">
        <v>634</v>
      </c>
    </row>
    <row r="121" spans="2:7" ht="28.8">
      <c r="B121" s="100">
        <v>108</v>
      </c>
      <c r="C121" s="74" t="s">
        <v>291</v>
      </c>
      <c r="D121" s="78" t="s">
        <v>143</v>
      </c>
      <c r="E121" s="78" t="s">
        <v>435</v>
      </c>
      <c r="F121" s="78" t="s">
        <v>288</v>
      </c>
      <c r="G121" s="2" t="s">
        <v>635</v>
      </c>
    </row>
    <row r="122" spans="2:7" ht="28.8">
      <c r="B122" s="100">
        <v>109</v>
      </c>
      <c r="C122" s="74" t="s">
        <v>291</v>
      </c>
      <c r="D122" s="78" t="s">
        <v>144</v>
      </c>
      <c r="E122" s="78" t="s">
        <v>436</v>
      </c>
      <c r="F122" s="78" t="s">
        <v>288</v>
      </c>
      <c r="G122" s="2" t="s">
        <v>635</v>
      </c>
    </row>
    <row r="123" spans="2:7" ht="28.8">
      <c r="B123" s="100">
        <v>110</v>
      </c>
      <c r="C123" s="74" t="s">
        <v>291</v>
      </c>
      <c r="D123" s="78" t="s">
        <v>145</v>
      </c>
      <c r="E123" s="78" t="s">
        <v>437</v>
      </c>
      <c r="F123" s="78" t="s">
        <v>288</v>
      </c>
      <c r="G123" s="2" t="s">
        <v>635</v>
      </c>
    </row>
    <row r="124" spans="2:7" ht="28.8">
      <c r="B124" s="100">
        <v>111</v>
      </c>
      <c r="C124" s="74" t="s">
        <v>291</v>
      </c>
      <c r="D124" s="78" t="s">
        <v>146</v>
      </c>
      <c r="E124" s="78" t="s">
        <v>438</v>
      </c>
      <c r="F124" s="78" t="s">
        <v>285</v>
      </c>
      <c r="G124" s="2" t="s">
        <v>682</v>
      </c>
    </row>
    <row r="125" spans="2:7" ht="43.2">
      <c r="B125" s="100">
        <v>112</v>
      </c>
      <c r="C125" s="74" t="s">
        <v>283</v>
      </c>
      <c r="D125" s="78" t="s">
        <v>147</v>
      </c>
      <c r="E125" s="78" t="s">
        <v>439</v>
      </c>
      <c r="F125" s="78" t="s">
        <v>320</v>
      </c>
      <c r="G125" s="2" t="s">
        <v>637</v>
      </c>
    </row>
    <row r="126" spans="2:7" ht="28.8">
      <c r="B126" s="100">
        <v>113</v>
      </c>
      <c r="C126" s="74" t="s">
        <v>283</v>
      </c>
      <c r="D126" s="78" t="s">
        <v>148</v>
      </c>
      <c r="E126" s="78" t="s">
        <v>440</v>
      </c>
      <c r="F126" s="78" t="s">
        <v>320</v>
      </c>
      <c r="G126" s="2" t="s">
        <v>638</v>
      </c>
    </row>
    <row r="127" spans="2:7" ht="28.8">
      <c r="B127" s="100">
        <v>114</v>
      </c>
      <c r="C127" s="74" t="s">
        <v>283</v>
      </c>
      <c r="D127" s="78" t="s">
        <v>149</v>
      </c>
      <c r="E127" s="78" t="s">
        <v>441</v>
      </c>
      <c r="F127" s="78" t="s">
        <v>290</v>
      </c>
      <c r="G127" s="2" t="s">
        <v>639</v>
      </c>
    </row>
    <row r="128" spans="2:7" ht="28.8">
      <c r="B128" s="100">
        <v>115</v>
      </c>
      <c r="C128" s="74" t="s">
        <v>283</v>
      </c>
      <c r="D128" s="78" t="s">
        <v>150</v>
      </c>
      <c r="E128" s="78" t="s">
        <v>442</v>
      </c>
      <c r="F128" s="78" t="s">
        <v>290</v>
      </c>
      <c r="G128" s="2" t="s">
        <v>640</v>
      </c>
    </row>
    <row r="129" spans="2:7" ht="43.2">
      <c r="B129" s="100">
        <v>116</v>
      </c>
      <c r="C129" s="74" t="s">
        <v>283</v>
      </c>
      <c r="D129" s="78" t="s">
        <v>151</v>
      </c>
      <c r="E129" s="78" t="s">
        <v>443</v>
      </c>
      <c r="F129" s="78" t="s">
        <v>290</v>
      </c>
      <c r="G129" s="2" t="s">
        <v>637</v>
      </c>
    </row>
    <row r="130" spans="2:7" ht="28.8">
      <c r="B130" s="100">
        <v>117</v>
      </c>
      <c r="C130" s="74" t="s">
        <v>283</v>
      </c>
      <c r="D130" s="78" t="s">
        <v>152</v>
      </c>
      <c r="E130" s="78" t="s">
        <v>444</v>
      </c>
      <c r="F130" s="78" t="s">
        <v>288</v>
      </c>
      <c r="G130" s="2" t="s">
        <v>641</v>
      </c>
    </row>
    <row r="131" spans="2:7" ht="43.2">
      <c r="B131" s="100">
        <v>118</v>
      </c>
      <c r="C131" s="74" t="s">
        <v>304</v>
      </c>
      <c r="D131" s="78" t="s">
        <v>153</v>
      </c>
      <c r="E131" s="78" t="s">
        <v>603</v>
      </c>
      <c r="F131" s="78" t="s">
        <v>290</v>
      </c>
      <c r="G131" s="2" t="s">
        <v>642</v>
      </c>
    </row>
    <row r="132" spans="2:7" ht="43.2">
      <c r="B132" s="100">
        <v>119</v>
      </c>
      <c r="C132" s="74" t="s">
        <v>297</v>
      </c>
      <c r="D132" s="78" t="s">
        <v>154</v>
      </c>
      <c r="E132" s="78" t="s">
        <v>445</v>
      </c>
      <c r="F132" s="78" t="s">
        <v>320</v>
      </c>
      <c r="G132" s="2" t="s">
        <v>642</v>
      </c>
    </row>
    <row r="133" spans="2:7" ht="15" thickBot="1">
      <c r="B133" s="79"/>
      <c r="C133" s="79"/>
      <c r="D133" s="79"/>
      <c r="E133" s="79"/>
      <c r="F133" s="79"/>
      <c r="G133" s="79"/>
    </row>
    <row r="134" spans="2:7" ht="15" thickTop="1"/>
  </sheetData>
  <sheetProtection selectLockedCells="1" selectUnlockedCells="1"/>
  <pageMargins left="0.70866141732283472" right="0.70866141732283472" top="0.74803149606299213" bottom="0.74803149606299213" header="0.31496062992125984" footer="0.31496062992125984"/>
  <pageSetup paperSize="9" scale="66" fitToHeight="0" orientation="landscape" horizontalDpi="1200" verticalDpi="1200" r:id="rId1"/>
  <headerFooter>
    <oddFooter>&amp;L&amp;D&amp;CPage &amp;P of &amp;N&amp;R[Insert classification]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3864-B429-4FF2-89FF-887E526021F1}">
  <sheetPr>
    <pageSetUpPr fitToPage="1"/>
  </sheetPr>
  <dimension ref="B2:F169"/>
  <sheetViews>
    <sheetView showGridLines="0" workbookViewId="0"/>
  </sheetViews>
  <sheetFormatPr defaultColWidth="9.109375" defaultRowHeight="14.4"/>
  <cols>
    <col min="1" max="1" width="2.88671875" style="20" customWidth="1"/>
    <col min="2" max="2" width="18.5546875" style="20" customWidth="1"/>
    <col min="3" max="3" width="22.33203125" style="20" customWidth="1"/>
    <col min="4" max="4" width="51.33203125" style="20" customWidth="1"/>
    <col min="5" max="16384" width="9.109375" style="20"/>
  </cols>
  <sheetData>
    <row r="2" spans="2:4">
      <c r="B2" s="19"/>
      <c r="C2" s="19"/>
    </row>
    <row r="3" spans="2:4">
      <c r="B3" s="19"/>
      <c r="C3" s="19"/>
    </row>
    <row r="4" spans="2:4">
      <c r="B4" s="19"/>
      <c r="C4" s="19"/>
    </row>
    <row r="5" spans="2:4">
      <c r="B5" s="19"/>
      <c r="C5" s="19"/>
    </row>
    <row r="6" spans="2:4">
      <c r="B6" s="19"/>
      <c r="C6" s="19"/>
    </row>
    <row r="7" spans="2:4" ht="69.599999999999994" customHeight="1">
      <c r="B7" s="19"/>
      <c r="C7" s="19"/>
    </row>
    <row r="8" spans="2:4" ht="21">
      <c r="B8" s="21" t="s">
        <v>446</v>
      </c>
      <c r="C8" s="21"/>
      <c r="D8" s="74"/>
    </row>
    <row r="9" spans="2:4">
      <c r="B9" s="74" t="s">
        <v>447</v>
      </c>
      <c r="C9" s="74"/>
      <c r="D9" s="74"/>
    </row>
    <row r="10" spans="2:4">
      <c r="B10" s="74" t="s">
        <v>448</v>
      </c>
      <c r="C10" s="74"/>
      <c r="D10" s="74"/>
    </row>
    <row r="11" spans="2:4">
      <c r="B11" s="74"/>
      <c r="C11" s="74"/>
      <c r="D11" s="74"/>
    </row>
    <row r="12" spans="2:4" ht="21" customHeight="1">
      <c r="B12" s="36" t="s">
        <v>449</v>
      </c>
      <c r="C12" s="36" t="s">
        <v>450</v>
      </c>
      <c r="D12" s="37" t="s">
        <v>451</v>
      </c>
    </row>
    <row r="13" spans="2:4" ht="15.6">
      <c r="B13" s="8" t="s">
        <v>291</v>
      </c>
      <c r="C13"/>
      <c r="D13" t="s">
        <v>452</v>
      </c>
    </row>
    <row r="14" spans="2:4">
      <c r="B14"/>
      <c r="C14"/>
      <c r="D14" t="s">
        <v>453</v>
      </c>
    </row>
    <row r="15" spans="2:4">
      <c r="B15"/>
      <c r="C15"/>
      <c r="D15" t="s">
        <v>454</v>
      </c>
    </row>
    <row r="16" spans="2:4" ht="15" thickBot="1">
      <c r="B16" s="80"/>
      <c r="C16" s="80"/>
      <c r="D16" s="80"/>
    </row>
    <row r="17" spans="2:4" ht="16.2" thickTop="1">
      <c r="B17" s="8" t="s">
        <v>297</v>
      </c>
      <c r="C17" t="s">
        <v>455</v>
      </c>
      <c r="D17" t="s">
        <v>456</v>
      </c>
    </row>
    <row r="18" spans="2:4">
      <c r="B18"/>
      <c r="D18" t="s">
        <v>457</v>
      </c>
    </row>
    <row r="19" spans="2:4">
      <c r="B19"/>
      <c r="C19" t="s">
        <v>458</v>
      </c>
      <c r="D19" t="s">
        <v>459</v>
      </c>
    </row>
    <row r="20" spans="2:4">
      <c r="B20"/>
      <c r="C20"/>
      <c r="D20" t="s">
        <v>460</v>
      </c>
    </row>
    <row r="21" spans="2:4">
      <c r="B21"/>
      <c r="C21"/>
      <c r="D21" t="s">
        <v>461</v>
      </c>
    </row>
    <row r="22" spans="2:4">
      <c r="B22"/>
      <c r="C22"/>
      <c r="D22" t="s">
        <v>462</v>
      </c>
    </row>
    <row r="23" spans="2:4">
      <c r="B23"/>
      <c r="C23" t="s">
        <v>463</v>
      </c>
      <c r="D23" t="s">
        <v>464</v>
      </c>
    </row>
    <row r="24" spans="2:4">
      <c r="B24"/>
      <c r="C24"/>
      <c r="D24" t="s">
        <v>465</v>
      </c>
    </row>
    <row r="25" spans="2:4">
      <c r="B25"/>
      <c r="C25"/>
      <c r="D25" t="s">
        <v>466</v>
      </c>
    </row>
    <row r="26" spans="2:4">
      <c r="B26"/>
      <c r="C26"/>
      <c r="D26" t="s">
        <v>467</v>
      </c>
    </row>
    <row r="27" spans="2:4">
      <c r="B27"/>
      <c r="C27"/>
      <c r="D27" t="s">
        <v>468</v>
      </c>
    </row>
    <row r="28" spans="2:4">
      <c r="B28"/>
      <c r="C28"/>
      <c r="D28" t="s">
        <v>469</v>
      </c>
    </row>
    <row r="29" spans="2:4">
      <c r="B29"/>
      <c r="C29" t="s">
        <v>470</v>
      </c>
      <c r="D29" t="s">
        <v>471</v>
      </c>
    </row>
    <row r="30" spans="2:4">
      <c r="B30"/>
      <c r="C30"/>
      <c r="D30" t="s">
        <v>472</v>
      </c>
    </row>
    <row r="31" spans="2:4">
      <c r="B31"/>
      <c r="C31"/>
      <c r="D31" t="s">
        <v>473</v>
      </c>
    </row>
    <row r="32" spans="2:4">
      <c r="B32"/>
      <c r="C32"/>
      <c r="D32" t="s">
        <v>474</v>
      </c>
    </row>
    <row r="33" spans="2:4">
      <c r="B33"/>
      <c r="C33"/>
      <c r="D33" t="s">
        <v>475</v>
      </c>
    </row>
    <row r="34" spans="2:4">
      <c r="B34"/>
      <c r="C34"/>
      <c r="D34" t="s">
        <v>476</v>
      </c>
    </row>
    <row r="35" spans="2:4">
      <c r="B35"/>
      <c r="C35"/>
      <c r="D35" t="s">
        <v>477</v>
      </c>
    </row>
    <row r="36" spans="2:4">
      <c r="B36"/>
      <c r="C36"/>
      <c r="D36" t="s">
        <v>478</v>
      </c>
    </row>
    <row r="37" spans="2:4">
      <c r="B37"/>
      <c r="C37"/>
      <c r="D37" t="s">
        <v>479</v>
      </c>
    </row>
    <row r="38" spans="2:4">
      <c r="B38"/>
      <c r="C38" t="s">
        <v>480</v>
      </c>
      <c r="D38" t="s">
        <v>481</v>
      </c>
    </row>
    <row r="39" spans="2:4">
      <c r="B39"/>
      <c r="C39"/>
      <c r="D39" t="s">
        <v>482</v>
      </c>
    </row>
    <row r="40" spans="2:4">
      <c r="B40"/>
      <c r="C40" t="s">
        <v>483</v>
      </c>
      <c r="D40" t="s">
        <v>484</v>
      </c>
    </row>
    <row r="41" spans="2:4">
      <c r="B41"/>
      <c r="C41"/>
      <c r="D41" t="s">
        <v>485</v>
      </c>
    </row>
    <row r="42" spans="2:4">
      <c r="B42"/>
      <c r="C42"/>
      <c r="D42" t="s">
        <v>486</v>
      </c>
    </row>
    <row r="43" spans="2:4">
      <c r="B43"/>
      <c r="C43" t="s">
        <v>487</v>
      </c>
      <c r="D43" t="s">
        <v>488</v>
      </c>
    </row>
    <row r="44" spans="2:4">
      <c r="B44"/>
      <c r="C44"/>
      <c r="D44" t="s">
        <v>489</v>
      </c>
    </row>
    <row r="45" spans="2:4">
      <c r="B45"/>
      <c r="C45"/>
      <c r="D45" t="s">
        <v>490</v>
      </c>
    </row>
    <row r="46" spans="2:4">
      <c r="B46"/>
      <c r="C46"/>
      <c r="D46" t="s">
        <v>491</v>
      </c>
    </row>
    <row r="47" spans="2:4">
      <c r="B47"/>
      <c r="C47"/>
      <c r="D47" t="s">
        <v>492</v>
      </c>
    </row>
    <row r="48" spans="2:4">
      <c r="B48"/>
      <c r="C48" t="s">
        <v>493</v>
      </c>
      <c r="D48" t="s">
        <v>494</v>
      </c>
    </row>
    <row r="49" spans="2:4">
      <c r="B49"/>
      <c r="C49"/>
      <c r="D49" t="s">
        <v>495</v>
      </c>
    </row>
    <row r="50" spans="2:4">
      <c r="B50"/>
      <c r="C50"/>
      <c r="D50" t="s">
        <v>496</v>
      </c>
    </row>
    <row r="51" spans="2:4">
      <c r="B51"/>
      <c r="C51"/>
      <c r="D51" t="s">
        <v>497</v>
      </c>
    </row>
    <row r="52" spans="2:4">
      <c r="B52"/>
      <c r="C52"/>
      <c r="D52" t="s">
        <v>498</v>
      </c>
    </row>
    <row r="53" spans="2:4">
      <c r="B53"/>
      <c r="C53" t="s">
        <v>499</v>
      </c>
      <c r="D53" t="s">
        <v>500</v>
      </c>
    </row>
    <row r="54" spans="2:4">
      <c r="B54"/>
      <c r="C54"/>
      <c r="D54" t="s">
        <v>501</v>
      </c>
    </row>
    <row r="55" spans="2:4">
      <c r="B55"/>
      <c r="C55"/>
      <c r="D55" t="s">
        <v>502</v>
      </c>
    </row>
    <row r="56" spans="2:4" ht="15" thickBot="1">
      <c r="B56" s="80"/>
      <c r="C56" s="80"/>
      <c r="D56" s="80"/>
    </row>
    <row r="57" spans="2:4" ht="16.2" thickTop="1">
      <c r="B57" s="8" t="s">
        <v>350</v>
      </c>
      <c r="C57"/>
      <c r="D57" t="s">
        <v>503</v>
      </c>
    </row>
    <row r="58" spans="2:4">
      <c r="B58"/>
      <c r="C58"/>
      <c r="D58" t="s">
        <v>504</v>
      </c>
    </row>
    <row r="59" spans="2:4">
      <c r="B59"/>
      <c r="C59"/>
      <c r="D59" t="s">
        <v>505</v>
      </c>
    </row>
    <row r="60" spans="2:4">
      <c r="B60"/>
      <c r="C60"/>
      <c r="D60" t="s">
        <v>506</v>
      </c>
    </row>
    <row r="61" spans="2:4">
      <c r="B61"/>
      <c r="C61"/>
      <c r="D61" t="s">
        <v>507</v>
      </c>
    </row>
    <row r="62" spans="2:4">
      <c r="B62"/>
      <c r="C62"/>
      <c r="D62" t="s">
        <v>508</v>
      </c>
    </row>
    <row r="63" spans="2:4">
      <c r="B63"/>
      <c r="C63"/>
      <c r="D63" t="s">
        <v>509</v>
      </c>
    </row>
    <row r="64" spans="2:4">
      <c r="B64"/>
      <c r="C64"/>
      <c r="D64" t="s">
        <v>510</v>
      </c>
    </row>
    <row r="65" spans="2:4">
      <c r="B65"/>
      <c r="C65"/>
      <c r="D65" t="s">
        <v>511</v>
      </c>
    </row>
    <row r="66" spans="2:4">
      <c r="B66"/>
      <c r="C66"/>
      <c r="D66" t="s">
        <v>512</v>
      </c>
    </row>
    <row r="67" spans="2:4" ht="15" thickBot="1">
      <c r="B67" s="80"/>
      <c r="C67" s="80"/>
      <c r="D67" s="80"/>
    </row>
    <row r="68" spans="2:4" ht="16.2" thickTop="1">
      <c r="B68" s="8" t="s">
        <v>318</v>
      </c>
      <c r="C68"/>
      <c r="D68" t="s">
        <v>513</v>
      </c>
    </row>
    <row r="69" spans="2:4">
      <c r="B69"/>
      <c r="C69"/>
      <c r="D69" t="s">
        <v>514</v>
      </c>
    </row>
    <row r="70" spans="2:4">
      <c r="B70"/>
      <c r="C70"/>
      <c r="D70" t="s">
        <v>515</v>
      </c>
    </row>
    <row r="71" spans="2:4">
      <c r="B71"/>
      <c r="C71"/>
      <c r="D71" t="s">
        <v>516</v>
      </c>
    </row>
    <row r="72" spans="2:4">
      <c r="B72"/>
      <c r="C72"/>
      <c r="D72" t="s">
        <v>517</v>
      </c>
    </row>
    <row r="73" spans="2:4" ht="15" thickBot="1">
      <c r="B73" s="80"/>
      <c r="C73" s="80"/>
      <c r="D73" s="80"/>
    </row>
    <row r="74" spans="2:4" ht="16.2" thickTop="1">
      <c r="B74" s="8" t="s">
        <v>331</v>
      </c>
      <c r="C74"/>
      <c r="D74" t="s">
        <v>518</v>
      </c>
    </row>
    <row r="75" spans="2:4">
      <c r="B75"/>
      <c r="C75"/>
      <c r="D75" t="s">
        <v>519</v>
      </c>
    </row>
    <row r="76" spans="2:4">
      <c r="B76"/>
      <c r="C76"/>
      <c r="D76" t="s">
        <v>520</v>
      </c>
    </row>
    <row r="77" spans="2:4" ht="15" thickBot="1">
      <c r="B77" s="80"/>
      <c r="C77" s="80"/>
      <c r="D77" s="80"/>
    </row>
    <row r="78" spans="2:4" ht="16.2" thickTop="1">
      <c r="B78" s="8" t="s">
        <v>300</v>
      </c>
      <c r="C78"/>
      <c r="D78" t="s">
        <v>521</v>
      </c>
    </row>
    <row r="79" spans="2:4">
      <c r="B79"/>
      <c r="C79"/>
      <c r="D79" t="s">
        <v>522</v>
      </c>
    </row>
    <row r="80" spans="2:4">
      <c r="B80"/>
      <c r="C80"/>
      <c r="D80" t="s">
        <v>523</v>
      </c>
    </row>
    <row r="81" spans="2:4">
      <c r="B81"/>
      <c r="C81"/>
      <c r="D81" t="s">
        <v>524</v>
      </c>
    </row>
    <row r="82" spans="2:4">
      <c r="B82"/>
      <c r="C82"/>
      <c r="D82" t="s">
        <v>525</v>
      </c>
    </row>
    <row r="83" spans="2:4">
      <c r="B83"/>
      <c r="C83"/>
      <c r="D83" t="s">
        <v>526</v>
      </c>
    </row>
    <row r="84" spans="2:4">
      <c r="B84"/>
      <c r="C84"/>
      <c r="D84" t="s">
        <v>527</v>
      </c>
    </row>
    <row r="85" spans="2:4">
      <c r="B85"/>
      <c r="C85"/>
      <c r="D85" t="s">
        <v>528</v>
      </c>
    </row>
    <row r="86" spans="2:4">
      <c r="B86"/>
      <c r="C86"/>
      <c r="D86" t="s">
        <v>529</v>
      </c>
    </row>
    <row r="87" spans="2:4" ht="15" thickBot="1">
      <c r="B87" s="80"/>
      <c r="C87" s="80"/>
      <c r="D87" s="80"/>
    </row>
    <row r="88" spans="2:4" ht="16.2" thickTop="1">
      <c r="B88" s="8" t="s">
        <v>304</v>
      </c>
      <c r="C88" t="s">
        <v>530</v>
      </c>
      <c r="D88" t="s">
        <v>531</v>
      </c>
    </row>
    <row r="89" spans="2:4">
      <c r="B89"/>
      <c r="C89"/>
      <c r="D89" t="s">
        <v>532</v>
      </c>
    </row>
    <row r="90" spans="2:4">
      <c r="B90"/>
      <c r="C90"/>
      <c r="D90" t="s">
        <v>533</v>
      </c>
    </row>
    <row r="91" spans="2:4">
      <c r="B91"/>
      <c r="C91"/>
      <c r="D91" t="s">
        <v>534</v>
      </c>
    </row>
    <row r="92" spans="2:4" ht="15" thickBot="1">
      <c r="B92" s="80"/>
      <c r="C92" s="80"/>
      <c r="D92" s="80"/>
    </row>
    <row r="93" spans="2:4" ht="16.2" thickTop="1">
      <c r="B93" s="8" t="s">
        <v>283</v>
      </c>
      <c r="C93"/>
      <c r="D93" t="s">
        <v>535</v>
      </c>
    </row>
    <row r="94" spans="2:4">
      <c r="B94"/>
      <c r="C94"/>
      <c r="D94" t="s">
        <v>536</v>
      </c>
    </row>
    <row r="95" spans="2:4">
      <c r="B95"/>
      <c r="C95"/>
      <c r="D95" t="s">
        <v>537</v>
      </c>
    </row>
    <row r="96" spans="2:4">
      <c r="B96"/>
      <c r="C96"/>
      <c r="D96" t="s">
        <v>538</v>
      </c>
    </row>
    <row r="97" spans="2:4" ht="15" thickBot="1">
      <c r="B97" s="80"/>
      <c r="C97" s="80"/>
      <c r="D97" s="80"/>
    </row>
    <row r="98" spans="2:4" ht="16.2" thickTop="1">
      <c r="B98" s="8" t="s">
        <v>539</v>
      </c>
      <c r="C98"/>
      <c r="D98" t="s">
        <v>539</v>
      </c>
    </row>
    <row r="99" spans="2:4" ht="15" thickBot="1">
      <c r="B99" s="81"/>
      <c r="C99" s="81"/>
      <c r="D99" s="81"/>
    </row>
    <row r="100" spans="2:4" ht="15" thickTop="1">
      <c r="D100" s="78"/>
    </row>
    <row r="101" spans="2:4">
      <c r="B101" s="77"/>
      <c r="D101" s="78"/>
    </row>
    <row r="102" spans="2:4">
      <c r="B102" s="77"/>
      <c r="D102" s="78"/>
    </row>
    <row r="103" spans="2:4">
      <c r="B103" s="77"/>
      <c r="D103" s="78"/>
    </row>
    <row r="104" spans="2:4">
      <c r="B104" s="77"/>
      <c r="D104" s="78"/>
    </row>
    <row r="105" spans="2:4">
      <c r="B105" s="77"/>
    </row>
    <row r="106" spans="2:4">
      <c r="B106" s="77"/>
    </row>
    <row r="107" spans="2:4">
      <c r="B107" s="77"/>
    </row>
    <row r="108" spans="2:4">
      <c r="B108" s="77"/>
    </row>
    <row r="109" spans="2:4">
      <c r="B109" s="77"/>
    </row>
    <row r="110" spans="2:4">
      <c r="B110" s="77"/>
      <c r="D110" s="78"/>
    </row>
    <row r="111" spans="2:4">
      <c r="B111" s="77"/>
      <c r="D111" s="78"/>
    </row>
    <row r="112" spans="2:4">
      <c r="B112" s="77"/>
      <c r="D112" s="78"/>
    </row>
    <row r="113" spans="2:4">
      <c r="B113" s="77"/>
      <c r="D113" s="78"/>
    </row>
    <row r="114" spans="2:4">
      <c r="B114" s="77"/>
      <c r="D114" s="78"/>
    </row>
    <row r="115" spans="2:4">
      <c r="B115" s="77"/>
      <c r="D115" s="78"/>
    </row>
    <row r="116" spans="2:4">
      <c r="B116" s="77"/>
      <c r="D116" s="78"/>
    </row>
    <row r="117" spans="2:4">
      <c r="B117" s="77"/>
      <c r="D117" s="78"/>
    </row>
    <row r="118" spans="2:4">
      <c r="B118" s="77"/>
      <c r="D118" s="78"/>
    </row>
    <row r="119" spans="2:4">
      <c r="B119" s="77"/>
      <c r="D119" s="78"/>
    </row>
    <row r="120" spans="2:4">
      <c r="B120" s="77"/>
      <c r="D120" s="78"/>
    </row>
    <row r="121" spans="2:4">
      <c r="B121" s="77"/>
      <c r="D121" s="78"/>
    </row>
    <row r="122" spans="2:4">
      <c r="B122" s="77"/>
      <c r="D122" s="78"/>
    </row>
    <row r="123" spans="2:4">
      <c r="B123" s="77"/>
      <c r="D123" s="78"/>
    </row>
    <row r="124" spans="2:4">
      <c r="B124" s="77"/>
      <c r="D124" s="78"/>
    </row>
    <row r="125" spans="2:4">
      <c r="B125" s="77"/>
      <c r="D125" s="78"/>
    </row>
    <row r="126" spans="2:4">
      <c r="B126" s="77"/>
      <c r="D126" s="78"/>
    </row>
    <row r="127" spans="2:4">
      <c r="B127" s="77"/>
      <c r="D127" s="78"/>
    </row>
    <row r="128" spans="2:4">
      <c r="B128" s="77"/>
      <c r="D128" s="78"/>
    </row>
    <row r="129" spans="2:4">
      <c r="B129" s="77"/>
      <c r="D129" s="78"/>
    </row>
    <row r="130" spans="2:4">
      <c r="B130" s="77"/>
      <c r="D130" s="78"/>
    </row>
    <row r="131" spans="2:4">
      <c r="B131" s="77"/>
      <c r="D131" s="78"/>
    </row>
    <row r="132" spans="2:4">
      <c r="B132" s="77"/>
      <c r="D132" s="78"/>
    </row>
    <row r="133" spans="2:4">
      <c r="B133" s="77"/>
      <c r="D133" s="78"/>
    </row>
    <row r="134" spans="2:4">
      <c r="B134" s="77"/>
      <c r="D134" s="78"/>
    </row>
    <row r="135" spans="2:4">
      <c r="B135" s="77"/>
      <c r="D135" s="78"/>
    </row>
    <row r="136" spans="2:4">
      <c r="B136" s="77"/>
      <c r="D136" s="78"/>
    </row>
    <row r="137" spans="2:4">
      <c r="B137" s="77"/>
      <c r="D137" s="78"/>
    </row>
    <row r="138" spans="2:4">
      <c r="B138" s="77"/>
      <c r="D138" s="78"/>
    </row>
    <row r="139" spans="2:4">
      <c r="B139" s="77"/>
      <c r="D139" s="78"/>
    </row>
    <row r="140" spans="2:4">
      <c r="B140" s="77"/>
      <c r="D140" s="78"/>
    </row>
    <row r="141" spans="2:4">
      <c r="B141" s="77"/>
      <c r="D141" s="78"/>
    </row>
    <row r="142" spans="2:4">
      <c r="B142" s="77"/>
      <c r="D142" s="78"/>
    </row>
    <row r="143" spans="2:4">
      <c r="B143" s="77"/>
      <c r="D143" s="78"/>
    </row>
    <row r="144" spans="2:4">
      <c r="B144" s="77"/>
      <c r="D144" s="78"/>
    </row>
    <row r="145" spans="2:6">
      <c r="B145" s="77"/>
      <c r="D145" s="78"/>
    </row>
    <row r="146" spans="2:6">
      <c r="B146" s="77"/>
      <c r="D146" s="78"/>
    </row>
    <row r="147" spans="2:6">
      <c r="B147" s="77"/>
      <c r="D147" s="78"/>
    </row>
    <row r="148" spans="2:6">
      <c r="B148" s="77"/>
      <c r="D148" s="78"/>
    </row>
    <row r="149" spans="2:6">
      <c r="B149" s="77"/>
      <c r="D149" s="78"/>
    </row>
    <row r="150" spans="2:6">
      <c r="B150" s="77"/>
      <c r="D150" s="78"/>
    </row>
    <row r="151" spans="2:6">
      <c r="B151" s="77"/>
      <c r="D151" s="78"/>
    </row>
    <row r="152" spans="2:6">
      <c r="B152" s="77"/>
      <c r="D152" s="78"/>
    </row>
    <row r="153" spans="2:6">
      <c r="B153" s="77"/>
      <c r="D153" s="78"/>
    </row>
    <row r="154" spans="2:6">
      <c r="B154" s="77"/>
      <c r="D154" s="78"/>
    </row>
    <row r="155" spans="2:6">
      <c r="B155" s="77"/>
      <c r="D155" s="78"/>
    </row>
    <row r="156" spans="2:6">
      <c r="B156" s="77"/>
      <c r="C156" s="77"/>
      <c r="D156" s="77"/>
      <c r="E156" s="77"/>
      <c r="F156" s="77"/>
    </row>
    <row r="157" spans="2:6">
      <c r="B157" s="77"/>
      <c r="C157" s="77"/>
      <c r="D157" s="77"/>
      <c r="E157" s="77"/>
      <c r="F157" s="77"/>
    </row>
    <row r="158" spans="2:6">
      <c r="B158" s="77"/>
      <c r="C158" s="77"/>
      <c r="D158" s="77"/>
      <c r="E158" s="77"/>
      <c r="F158" s="77"/>
    </row>
    <row r="159" spans="2:6">
      <c r="B159" s="77"/>
      <c r="C159" s="77"/>
      <c r="D159" s="77"/>
      <c r="E159" s="77"/>
      <c r="F159" s="77"/>
    </row>
    <row r="160" spans="2:6">
      <c r="B160" s="77"/>
      <c r="C160" s="77"/>
      <c r="D160" s="77"/>
      <c r="E160" s="77"/>
      <c r="F160" s="77"/>
    </row>
    <row r="161" spans="2:6">
      <c r="B161" s="77"/>
      <c r="C161" s="77"/>
      <c r="D161" s="77"/>
      <c r="E161" s="77"/>
      <c r="F161" s="77"/>
    </row>
    <row r="162" spans="2:6">
      <c r="B162" s="77"/>
      <c r="C162" s="77"/>
      <c r="D162" s="77"/>
      <c r="E162" s="77"/>
      <c r="F162" s="77"/>
    </row>
    <row r="163" spans="2:6">
      <c r="B163" s="77"/>
      <c r="C163" s="77"/>
      <c r="D163" s="77"/>
      <c r="E163" s="77"/>
      <c r="F163" s="77"/>
    </row>
    <row r="164" spans="2:6">
      <c r="B164" s="77"/>
      <c r="C164" s="77"/>
      <c r="D164" s="77"/>
      <c r="E164" s="77"/>
      <c r="F164" s="77"/>
    </row>
    <row r="165" spans="2:6">
      <c r="B165" s="77"/>
      <c r="C165" s="77"/>
      <c r="D165" s="77"/>
      <c r="E165" s="77"/>
      <c r="F165" s="77"/>
    </row>
    <row r="166" spans="2:6">
      <c r="B166" s="77"/>
      <c r="C166" s="77"/>
      <c r="D166" s="77"/>
      <c r="E166" s="77"/>
      <c r="F166" s="77"/>
    </row>
    <row r="167" spans="2:6">
      <c r="B167" s="77"/>
      <c r="C167" s="77"/>
      <c r="D167" s="77"/>
      <c r="E167" s="77"/>
      <c r="F167" s="77"/>
    </row>
    <row r="168" spans="2:6">
      <c r="B168" s="77"/>
      <c r="C168" s="77"/>
      <c r="D168" s="77"/>
      <c r="E168" s="77"/>
      <c r="F168" s="77"/>
    </row>
    <row r="169" spans="2:6">
      <c r="B169" s="77"/>
      <c r="C169" s="77"/>
      <c r="D169" s="77"/>
      <c r="E169" s="77"/>
      <c r="F169" s="77"/>
    </row>
  </sheetData>
  <sheetProtection selectLockedCells="1" selectUnlockedCells="1"/>
  <pageMargins left="0.70866141732283472" right="0.70866141732283472" top="0.74803149606299213" bottom="0.74803149606299213" header="0.31496062992125984" footer="0.31496062992125984"/>
  <pageSetup paperSize="9" scale="92" fitToHeight="0" orientation="portrait" horizontalDpi="1200" verticalDpi="1200" r:id="rId1"/>
  <headerFooter>
    <oddFooter>&amp;L&amp;D&amp;CPage &amp;P of &amp;N&amp;R[Insert classification]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DD40-BD69-4F41-9F9B-41C7F2F5B09C}">
  <sheetPr>
    <pageSetUpPr fitToPage="1"/>
  </sheetPr>
  <dimension ref="A2:D44"/>
  <sheetViews>
    <sheetView showGridLines="0" workbookViewId="0"/>
  </sheetViews>
  <sheetFormatPr defaultColWidth="9.109375" defaultRowHeight="14.4"/>
  <cols>
    <col min="1" max="1" width="2.88671875" style="3" customWidth="1"/>
    <col min="2" max="2" width="19.6640625" style="3" customWidth="1"/>
    <col min="3" max="3" width="45.88671875" style="3" customWidth="1"/>
    <col min="4" max="4" width="56.109375" style="3" customWidth="1"/>
    <col min="5" max="16384" width="9.109375" style="3"/>
  </cols>
  <sheetData>
    <row r="2" spans="2:4">
      <c r="B2" s="4"/>
      <c r="C2" s="4"/>
    </row>
    <row r="3" spans="2:4">
      <c r="B3" s="4"/>
      <c r="C3" s="4"/>
    </row>
    <row r="4" spans="2:4">
      <c r="B4" s="4"/>
      <c r="C4" s="4"/>
    </row>
    <row r="5" spans="2:4">
      <c r="B5" s="4"/>
      <c r="C5" s="4"/>
    </row>
    <row r="6" spans="2:4">
      <c r="B6" s="4"/>
      <c r="C6" s="4"/>
    </row>
    <row r="7" spans="2:4" ht="72" customHeight="1">
      <c r="B7" s="4"/>
      <c r="C7" s="4"/>
    </row>
    <row r="8" spans="2:4" ht="21">
      <c r="B8" s="10" t="s">
        <v>540</v>
      </c>
      <c r="C8" s="10"/>
      <c r="D8" s="11"/>
    </row>
    <row r="9" spans="2:4">
      <c r="B9" s="11" t="s">
        <v>541</v>
      </c>
      <c r="C9" s="11"/>
      <c r="D9" s="11"/>
    </row>
    <row r="10" spans="2:4">
      <c r="B10" s="11"/>
      <c r="C10" s="11"/>
      <c r="D10" s="11"/>
    </row>
    <row r="11" spans="2:4" ht="21" customHeight="1">
      <c r="B11" s="30" t="s">
        <v>542</v>
      </c>
      <c r="C11" s="30" t="s">
        <v>543</v>
      </c>
      <c r="D11" s="38" t="s">
        <v>544</v>
      </c>
    </row>
    <row r="12" spans="2:4" ht="28.8">
      <c r="B12" s="31" t="s">
        <v>545</v>
      </c>
      <c r="C12" s="11" t="s">
        <v>546</v>
      </c>
      <c r="D12" s="7" t="s">
        <v>547</v>
      </c>
    </row>
    <row r="13" spans="2:4" ht="28.8">
      <c r="B13" s="82"/>
      <c r="C13" s="11" t="s">
        <v>255</v>
      </c>
      <c r="D13" s="7" t="s">
        <v>548</v>
      </c>
    </row>
    <row r="14" spans="2:4" ht="28.8">
      <c r="B14" s="82"/>
      <c r="C14" s="11" t="s">
        <v>549</v>
      </c>
      <c r="D14" s="7" t="s">
        <v>257</v>
      </c>
    </row>
    <row r="15" spans="2:4">
      <c r="B15" s="82"/>
      <c r="C15" s="11" t="s">
        <v>550</v>
      </c>
      <c r="D15" s="7" t="s">
        <v>551</v>
      </c>
    </row>
    <row r="16" spans="2:4">
      <c r="B16" s="82"/>
      <c r="C16" s="11" t="s">
        <v>552</v>
      </c>
      <c r="D16" s="7" t="s">
        <v>553</v>
      </c>
    </row>
    <row r="17" spans="1:4" ht="15" thickBot="1">
      <c r="B17" s="80"/>
      <c r="C17" s="80"/>
      <c r="D17" s="80"/>
    </row>
    <row r="18" spans="1:4" ht="16.2" thickTop="1">
      <c r="B18" s="31" t="s">
        <v>554</v>
      </c>
      <c r="C18" s="11" t="s">
        <v>555</v>
      </c>
      <c r="D18" s="7" t="s">
        <v>556</v>
      </c>
    </row>
    <row r="19" spans="1:4" ht="28.8">
      <c r="B19" s="82"/>
      <c r="C19" s="11" t="s">
        <v>557</v>
      </c>
      <c r="D19" s="7" t="s">
        <v>558</v>
      </c>
    </row>
    <row r="20" spans="1:4">
      <c r="B20" s="82"/>
      <c r="C20" s="11" t="s">
        <v>559</v>
      </c>
      <c r="D20" s="7" t="s">
        <v>560</v>
      </c>
    </row>
    <row r="21" spans="1:4" ht="28.8">
      <c r="B21" s="82"/>
      <c r="C21" s="11" t="s">
        <v>561</v>
      </c>
      <c r="D21" s="7" t="s">
        <v>562</v>
      </c>
    </row>
    <row r="22" spans="1:4" ht="28.8">
      <c r="B22" s="82"/>
      <c r="C22" s="11" t="s">
        <v>563</v>
      </c>
      <c r="D22" s="7" t="s">
        <v>564</v>
      </c>
    </row>
    <row r="23" spans="1:4" ht="15" thickBot="1">
      <c r="B23" s="80"/>
      <c r="C23" s="80"/>
      <c r="D23" s="80"/>
    </row>
    <row r="24" spans="1:4" ht="16.2" thickTop="1">
      <c r="A24" s="83"/>
      <c r="B24" s="31" t="s">
        <v>565</v>
      </c>
      <c r="C24" s="11" t="s">
        <v>566</v>
      </c>
      <c r="D24" s="7" t="s">
        <v>256</v>
      </c>
    </row>
    <row r="25" spans="1:4">
      <c r="A25" s="83"/>
      <c r="B25" s="82"/>
      <c r="C25" s="11" t="s">
        <v>567</v>
      </c>
      <c r="D25" s="7" t="s">
        <v>568</v>
      </c>
    </row>
    <row r="26" spans="1:4" ht="28.8">
      <c r="A26" s="83"/>
      <c r="B26" s="82"/>
      <c r="C26" s="11" t="s">
        <v>569</v>
      </c>
      <c r="D26" s="7" t="s">
        <v>570</v>
      </c>
    </row>
    <row r="27" spans="1:4" ht="15" thickBot="1">
      <c r="B27" s="80"/>
      <c r="C27" s="80"/>
      <c r="D27" s="80"/>
    </row>
    <row r="28" spans="1:4" ht="16.2" thickTop="1">
      <c r="B28" s="31" t="s">
        <v>571</v>
      </c>
      <c r="C28" s="11" t="s">
        <v>572</v>
      </c>
      <c r="D28" s="7" t="s">
        <v>573</v>
      </c>
    </row>
    <row r="29" spans="1:4" ht="28.8">
      <c r="B29" s="82"/>
      <c r="C29" s="11" t="s">
        <v>574</v>
      </c>
      <c r="D29" s="7" t="s">
        <v>575</v>
      </c>
    </row>
    <row r="30" spans="1:4" ht="28.8">
      <c r="B30" s="82"/>
      <c r="C30" s="11" t="s">
        <v>576</v>
      </c>
      <c r="D30" s="7" t="s">
        <v>577</v>
      </c>
    </row>
    <row r="31" spans="1:4" ht="15" thickBot="1">
      <c r="B31" s="80"/>
      <c r="C31" s="80"/>
      <c r="D31" s="80"/>
    </row>
    <row r="32" spans="1:4" ht="29.4" thickTop="1">
      <c r="B32" s="31" t="s">
        <v>578</v>
      </c>
      <c r="C32" s="11" t="s">
        <v>579</v>
      </c>
      <c r="D32" s="7" t="s">
        <v>580</v>
      </c>
    </row>
    <row r="33" spans="2:4">
      <c r="B33" s="82"/>
      <c r="C33" s="11" t="s">
        <v>581</v>
      </c>
      <c r="D33" s="7" t="s">
        <v>582</v>
      </c>
    </row>
    <row r="34" spans="2:4">
      <c r="B34" s="82"/>
      <c r="C34" s="11" t="s">
        <v>583</v>
      </c>
      <c r="D34" s="7" t="s">
        <v>584</v>
      </c>
    </row>
    <row r="35" spans="2:4" ht="15" thickBot="1">
      <c r="B35" s="80"/>
      <c r="C35" s="80"/>
      <c r="D35" s="80"/>
    </row>
    <row r="36" spans="2:4" ht="43.8" thickTop="1">
      <c r="B36" s="31" t="s">
        <v>585</v>
      </c>
      <c r="C36" s="11" t="s">
        <v>586</v>
      </c>
      <c r="D36" s="7" t="s">
        <v>587</v>
      </c>
    </row>
    <row r="37" spans="2:4" ht="28.8">
      <c r="B37" s="82"/>
      <c r="C37" s="11" t="s">
        <v>588</v>
      </c>
      <c r="D37" s="7" t="s">
        <v>589</v>
      </c>
    </row>
    <row r="38" spans="2:4" ht="15" thickBot="1">
      <c r="B38" s="84"/>
      <c r="C38" s="84"/>
      <c r="D38" s="85"/>
    </row>
    <row r="39" spans="2:4" ht="15" thickTop="1">
      <c r="B39" s="6"/>
      <c r="C39" s="6"/>
      <c r="D39" s="2"/>
    </row>
    <row r="40" spans="2:4">
      <c r="B40" s="6"/>
      <c r="C40" s="6"/>
      <c r="D40" s="2"/>
    </row>
    <row r="41" spans="2:4">
      <c r="B41" s="6"/>
      <c r="C41" s="6"/>
      <c r="D41" s="2"/>
    </row>
    <row r="42" spans="2:4">
      <c r="B42" s="6"/>
      <c r="C42" s="6"/>
      <c r="D42" s="2"/>
    </row>
    <row r="43" spans="2:4">
      <c r="B43" s="6"/>
      <c r="C43" s="6"/>
      <c r="D43" s="2"/>
    </row>
    <row r="44" spans="2:4">
      <c r="B44" s="6"/>
      <c r="C44" s="6"/>
      <c r="D44" s="2"/>
    </row>
  </sheetData>
  <sheetProtection selectLockedCells="1" selectUnlockedCells="1"/>
  <pageMargins left="0.70866141732283472" right="0.70866141732283472" top="0.74803149606299213" bottom="0.74803149606299213" header="0.31496062992125984" footer="0.31496062992125984"/>
  <pageSetup paperSize="9" scale="70" fitToHeight="0" orientation="portrait" horizontalDpi="1200" verticalDpi="1200" r:id="rId1"/>
  <headerFooter>
    <oddFooter>&amp;L&amp;D&amp;CPage &amp;P of &amp;N&amp;R[Insert classification]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zoomScaleNormal="100" workbookViewId="0"/>
  </sheetViews>
  <sheetFormatPr defaultColWidth="9.109375" defaultRowHeight="14.4"/>
  <cols>
    <col min="1" max="1" width="2.88671875" style="3" customWidth="1"/>
    <col min="2" max="2" width="11.6640625" style="3" customWidth="1"/>
    <col min="3" max="3" width="16.33203125" style="3" customWidth="1"/>
    <col min="4" max="4" width="58.33203125" style="3" customWidth="1"/>
    <col min="5" max="16384" width="9.109375" style="3"/>
  </cols>
  <sheetData>
    <row r="2" spans="2:4">
      <c r="B2" s="4"/>
      <c r="C2" s="4"/>
    </row>
    <row r="3" spans="2:4">
      <c r="B3" s="4"/>
      <c r="C3" s="4"/>
    </row>
    <row r="4" spans="2:4">
      <c r="B4" s="4"/>
      <c r="C4" s="4"/>
    </row>
    <row r="5" spans="2:4">
      <c r="B5" s="4"/>
      <c r="C5" s="4"/>
    </row>
    <row r="6" spans="2:4" ht="85.8" customHeight="1">
      <c r="B6" s="4"/>
      <c r="C6" s="4"/>
    </row>
    <row r="7" spans="2:4">
      <c r="B7" s="4"/>
      <c r="C7" s="4"/>
    </row>
    <row r="8" spans="2:4" ht="21">
      <c r="B8" s="10" t="s">
        <v>4</v>
      </c>
      <c r="C8" s="10"/>
      <c r="D8" s="11"/>
    </row>
    <row r="9" spans="2:4">
      <c r="B9" s="11" t="s">
        <v>29</v>
      </c>
      <c r="C9" s="11"/>
      <c r="D9" s="11"/>
    </row>
    <row r="10" spans="2:4">
      <c r="B10" s="11"/>
      <c r="C10" s="11"/>
      <c r="D10" s="11"/>
    </row>
    <row r="11" spans="2:4" ht="21" customHeight="1">
      <c r="B11" s="30" t="s">
        <v>15</v>
      </c>
      <c r="C11" s="30" t="s">
        <v>16</v>
      </c>
      <c r="D11" s="38" t="s">
        <v>17</v>
      </c>
    </row>
    <row r="12" spans="2:4" ht="28.8">
      <c r="B12" s="12">
        <v>1</v>
      </c>
      <c r="C12" s="7" t="s">
        <v>18</v>
      </c>
      <c r="D12" s="7" t="s">
        <v>23</v>
      </c>
    </row>
    <row r="13" spans="2:4">
      <c r="B13" s="12">
        <v>2</v>
      </c>
      <c r="C13" s="7" t="s">
        <v>19</v>
      </c>
      <c r="D13" s="7" t="s">
        <v>24</v>
      </c>
    </row>
    <row r="14" spans="2:4" ht="28.8">
      <c r="B14" s="12">
        <v>3</v>
      </c>
      <c r="C14" s="7" t="s">
        <v>20</v>
      </c>
      <c r="D14" s="7" t="s">
        <v>27</v>
      </c>
    </row>
    <row r="15" spans="2:4" ht="28.8">
      <c r="B15" s="12">
        <v>4</v>
      </c>
      <c r="C15" s="7" t="s">
        <v>21</v>
      </c>
      <c r="D15" s="7" t="s">
        <v>25</v>
      </c>
    </row>
    <row r="16" spans="2:4" ht="28.8">
      <c r="B16" s="12">
        <v>5</v>
      </c>
      <c r="C16" s="7" t="s">
        <v>22</v>
      </c>
      <c r="D16" s="7" t="s">
        <v>26</v>
      </c>
    </row>
    <row r="17" spans="2:4" ht="15" thickBot="1">
      <c r="B17" s="39"/>
      <c r="C17" s="39"/>
      <c r="D17" s="39"/>
    </row>
    <row r="18" spans="2:4" ht="15" thickTop="1"/>
    <row r="24" spans="2:4">
      <c r="B24" s="6"/>
      <c r="C24" s="6"/>
      <c r="D24" s="2"/>
    </row>
    <row r="25" spans="2:4">
      <c r="B25" s="6"/>
      <c r="C25" s="6"/>
      <c r="D25" s="2"/>
    </row>
    <row r="26" spans="2:4">
      <c r="B26" s="6"/>
      <c r="C26" s="6"/>
      <c r="D26" s="2"/>
    </row>
    <row r="27" spans="2:4">
      <c r="B27" s="6"/>
      <c r="C27" s="6"/>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&amp;N&amp;R[Insert classification]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27AD-48E4-435A-927D-723E9F61ED04}">
  <sheetPr codeName="Sheet9">
    <pageSetUpPr fitToPage="1"/>
  </sheetPr>
  <dimension ref="B2:O28"/>
  <sheetViews>
    <sheetView showGridLines="0" workbookViewId="0"/>
  </sheetViews>
  <sheetFormatPr defaultColWidth="9.109375" defaultRowHeight="14.4"/>
  <cols>
    <col min="1" max="1" width="2.88671875" style="3" customWidth="1"/>
    <col min="2" max="2" width="7.44140625" style="3" customWidth="1"/>
    <col min="3" max="3" width="11.33203125" style="3" customWidth="1"/>
    <col min="4" max="7" width="21.44140625" style="3" customWidth="1"/>
    <col min="8" max="8" width="25.44140625" style="3" customWidth="1"/>
    <col min="9" max="16384" width="9.109375" style="3"/>
  </cols>
  <sheetData>
    <row r="2" spans="2:15">
      <c r="B2" s="4"/>
      <c r="C2" s="4"/>
    </row>
    <row r="3" spans="2:15">
      <c r="B3" s="4"/>
      <c r="C3" s="4"/>
    </row>
    <row r="4" spans="2:15">
      <c r="B4" s="4"/>
      <c r="C4" s="4"/>
    </row>
    <row r="5" spans="2:15">
      <c r="B5" s="4"/>
      <c r="C5" s="4"/>
    </row>
    <row r="6" spans="2:15" ht="79.8" customHeight="1">
      <c r="B6" s="4"/>
      <c r="C6" s="4"/>
    </row>
    <row r="7" spans="2:15">
      <c r="B7" s="4"/>
      <c r="C7" s="4"/>
    </row>
    <row r="8" spans="2:15" ht="21">
      <c r="B8" s="10" t="s">
        <v>5</v>
      </c>
      <c r="C8" s="10"/>
      <c r="D8" s="11"/>
      <c r="E8" s="11"/>
      <c r="F8" s="11"/>
      <c r="G8" s="11"/>
      <c r="H8" s="11"/>
    </row>
    <row r="9" spans="2:15">
      <c r="B9" s="11" t="s">
        <v>28</v>
      </c>
      <c r="C9" s="11"/>
      <c r="D9" s="11"/>
      <c r="E9" s="11"/>
      <c r="F9" s="11"/>
      <c r="G9" s="11"/>
      <c r="H9" s="11"/>
    </row>
    <row r="10" spans="2:15">
      <c r="B10" s="11"/>
      <c r="C10" s="11"/>
      <c r="D10" s="11"/>
      <c r="E10" s="11"/>
      <c r="F10" s="11"/>
      <c r="G10" s="11"/>
      <c r="H10" s="11"/>
    </row>
    <row r="11" spans="2:15" ht="21" customHeight="1">
      <c r="B11" s="40" t="s">
        <v>58</v>
      </c>
      <c r="C11" s="41"/>
      <c r="D11" s="40" t="s">
        <v>57</v>
      </c>
      <c r="E11" s="40"/>
      <c r="F11" s="40"/>
      <c r="G11" s="40"/>
      <c r="H11" s="40"/>
    </row>
    <row r="12" spans="2:15" ht="33" customHeight="1">
      <c r="B12" s="104" t="s">
        <v>55</v>
      </c>
      <c r="C12" s="104" t="s">
        <v>56</v>
      </c>
      <c r="D12" s="104" t="s">
        <v>165</v>
      </c>
      <c r="E12" s="104" t="s">
        <v>166</v>
      </c>
      <c r="F12" s="104" t="s">
        <v>167</v>
      </c>
      <c r="G12" s="104" t="s">
        <v>59</v>
      </c>
      <c r="H12" s="104" t="s">
        <v>168</v>
      </c>
    </row>
    <row r="13" spans="2:15">
      <c r="B13" s="13">
        <v>1</v>
      </c>
      <c r="C13" s="7" t="s">
        <v>30</v>
      </c>
      <c r="D13" s="7" t="s">
        <v>31</v>
      </c>
      <c r="E13" s="2" t="s">
        <v>32</v>
      </c>
      <c r="F13" s="2" t="s">
        <v>33</v>
      </c>
      <c r="G13" s="7" t="s">
        <v>30</v>
      </c>
      <c r="H13" s="2" t="s">
        <v>34</v>
      </c>
      <c r="I13" s="2"/>
      <c r="J13" s="2"/>
      <c r="K13" s="2"/>
      <c r="L13" s="2"/>
      <c r="M13" s="2"/>
      <c r="N13" s="2"/>
      <c r="O13" s="2"/>
    </row>
    <row r="14" spans="2:15" ht="43.2">
      <c r="B14" s="13">
        <v>2</v>
      </c>
      <c r="C14" s="7" t="s">
        <v>35</v>
      </c>
      <c r="D14" s="7" t="s">
        <v>36</v>
      </c>
      <c r="E14" s="2" t="s">
        <v>37</v>
      </c>
      <c r="F14" s="2" t="s">
        <v>38</v>
      </c>
      <c r="G14" s="7" t="s">
        <v>35</v>
      </c>
      <c r="H14" s="2" t="s">
        <v>39</v>
      </c>
      <c r="I14" s="2"/>
      <c r="J14" s="2"/>
      <c r="K14" s="2"/>
      <c r="L14" s="2"/>
      <c r="M14" s="2"/>
      <c r="N14" s="2"/>
      <c r="O14" s="2"/>
    </row>
    <row r="15" spans="2:15" ht="43.2">
      <c r="B15" s="13">
        <v>3</v>
      </c>
      <c r="C15" s="7" t="s">
        <v>40</v>
      </c>
      <c r="D15" s="7" t="s">
        <v>41</v>
      </c>
      <c r="E15" s="2" t="s">
        <v>42</v>
      </c>
      <c r="F15" s="2" t="s">
        <v>43</v>
      </c>
      <c r="G15" s="7" t="s">
        <v>40</v>
      </c>
      <c r="H15" s="2" t="s">
        <v>44</v>
      </c>
      <c r="I15" s="2"/>
      <c r="J15" s="2"/>
      <c r="K15" s="2"/>
      <c r="L15" s="2"/>
      <c r="M15" s="2"/>
      <c r="N15" s="2"/>
      <c r="O15" s="2"/>
    </row>
    <row r="16" spans="2:15" ht="28.8">
      <c r="B16" s="13">
        <v>4</v>
      </c>
      <c r="C16" s="7" t="s">
        <v>45</v>
      </c>
      <c r="D16" s="7" t="s">
        <v>46</v>
      </c>
      <c r="E16" s="2" t="s">
        <v>47</v>
      </c>
      <c r="F16" s="2" t="s">
        <v>48</v>
      </c>
      <c r="G16" s="7" t="s">
        <v>45</v>
      </c>
      <c r="H16" s="2" t="s">
        <v>49</v>
      </c>
      <c r="I16" s="2"/>
      <c r="J16" s="2"/>
      <c r="K16" s="2"/>
      <c r="L16" s="2"/>
      <c r="M16" s="2"/>
      <c r="N16" s="2"/>
      <c r="O16" s="2"/>
    </row>
    <row r="17" spans="2:15" ht="43.2">
      <c r="B17" s="13">
        <v>5</v>
      </c>
      <c r="C17" s="7" t="s">
        <v>50</v>
      </c>
      <c r="D17" s="7" t="s">
        <v>51</v>
      </c>
      <c r="E17" s="2" t="s">
        <v>52</v>
      </c>
      <c r="F17" s="2" t="s">
        <v>53</v>
      </c>
      <c r="G17" s="7" t="s">
        <v>50</v>
      </c>
      <c r="H17" s="2" t="s">
        <v>54</v>
      </c>
      <c r="I17" s="2"/>
      <c r="J17" s="2"/>
      <c r="K17" s="2"/>
      <c r="L17" s="2"/>
      <c r="M17" s="2"/>
      <c r="N17" s="2"/>
      <c r="O17" s="2"/>
    </row>
    <row r="18" spans="2:15" ht="15" thickBot="1">
      <c r="B18" s="42"/>
      <c r="C18" s="42"/>
      <c r="D18" s="42"/>
      <c r="E18" s="42"/>
      <c r="F18" s="42"/>
      <c r="G18" s="42"/>
      <c r="H18" s="42"/>
    </row>
    <row r="19" spans="2:15" ht="15" thickTop="1"/>
    <row r="25" spans="2:15">
      <c r="B25" s="6"/>
      <c r="C25" s="6"/>
      <c r="D25" s="2"/>
    </row>
    <row r="26" spans="2:15">
      <c r="B26" s="6"/>
      <c r="C26" s="6"/>
      <c r="D26" s="2"/>
    </row>
    <row r="27" spans="2:15">
      <c r="B27" s="6"/>
      <c r="C27" s="6"/>
      <c r="D27" s="2"/>
    </row>
    <row r="28" spans="2:15">
      <c r="B28" s="6"/>
      <c r="C28" s="6"/>
      <c r="D28" s="2"/>
    </row>
  </sheetData>
  <sheetProtection selectLockedCells="1" selectUnlockedCells="1"/>
  <pageMargins left="0.70866141732283472" right="0.70866141732283472" top="0.74803149606299213" bottom="0.74803149606299213" header="0.31496062992125984" footer="0.31496062992125984"/>
  <pageSetup paperSize="9" scale="99" orientation="landscape" horizontalDpi="1200" verticalDpi="1200" r:id="rId1"/>
  <headerFooter>
    <oddFooter>&amp;L&amp;D&amp;CPage &amp;P of &amp;N&amp;R[Insert classification]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J26"/>
  <sheetViews>
    <sheetView showGridLines="0" zoomScaleNormal="100" workbookViewId="0"/>
  </sheetViews>
  <sheetFormatPr defaultRowHeight="14.4"/>
  <cols>
    <col min="1" max="1" width="2.88671875" customWidth="1"/>
    <col min="2" max="3" width="15" customWidth="1"/>
    <col min="4" max="4" width="9.109375" customWidth="1"/>
    <col min="5" max="5" width="38.109375" customWidth="1"/>
    <col min="7" max="7" width="16.44140625" customWidth="1"/>
    <col min="8" max="8" width="16.33203125" customWidth="1"/>
    <col min="9" max="9" width="18.44140625" customWidth="1"/>
    <col min="10" max="10" width="11.88671875" customWidth="1"/>
    <col min="11" max="11" width="17.33203125" customWidth="1"/>
  </cols>
  <sheetData>
    <row r="4" spans="2:10" ht="21">
      <c r="B4" s="27" t="s">
        <v>201</v>
      </c>
      <c r="C4" s="27"/>
    </row>
    <row r="6" spans="2:10" ht="15.6">
      <c r="B6" s="101" t="s">
        <v>9</v>
      </c>
      <c r="C6" s="102"/>
      <c r="E6" s="43" t="s">
        <v>14</v>
      </c>
      <c r="J6" s="8"/>
    </row>
    <row r="7" spans="2:10">
      <c r="B7" s="5" t="s">
        <v>0</v>
      </c>
      <c r="C7" s="5"/>
      <c r="D7" s="1"/>
      <c r="E7" t="s">
        <v>0</v>
      </c>
    </row>
    <row r="8" spans="2:10">
      <c r="B8" s="5">
        <v>1</v>
      </c>
      <c r="C8" s="5"/>
      <c r="D8" s="1"/>
      <c r="E8" t="s">
        <v>10</v>
      </c>
    </row>
    <row r="9" spans="2:10">
      <c r="B9" s="5">
        <v>2</v>
      </c>
      <c r="C9" s="5"/>
      <c r="D9" s="1"/>
      <c r="E9" t="s">
        <v>11</v>
      </c>
    </row>
    <row r="10" spans="2:10">
      <c r="B10" s="5">
        <v>3</v>
      </c>
      <c r="C10" s="5"/>
      <c r="D10" s="1"/>
      <c r="E10" t="s">
        <v>12</v>
      </c>
    </row>
    <row r="11" spans="2:10">
      <c r="B11" s="5">
        <v>4</v>
      </c>
      <c r="C11" s="5"/>
      <c r="D11" s="1"/>
      <c r="E11" t="s">
        <v>13</v>
      </c>
    </row>
    <row r="12" spans="2:10">
      <c r="B12" s="5">
        <v>5</v>
      </c>
      <c r="C12" s="5"/>
      <c r="D12" s="1"/>
    </row>
    <row r="13" spans="2:10">
      <c r="B13" s="1"/>
      <c r="C13" s="1"/>
      <c r="D13" s="1"/>
    </row>
    <row r="14" spans="2:10">
      <c r="B14" s="1"/>
      <c r="C14" s="1"/>
      <c r="D14" s="1"/>
    </row>
    <row r="15" spans="2:10">
      <c r="B15" s="43" t="s">
        <v>75</v>
      </c>
      <c r="C15" s="44"/>
      <c r="D15" s="1"/>
      <c r="E15" s="43" t="s">
        <v>218</v>
      </c>
    </row>
    <row r="16" spans="2:10">
      <c r="B16" s="1" t="s">
        <v>0</v>
      </c>
      <c r="C16" s="1"/>
      <c r="D16" s="1"/>
      <c r="E16" t="s">
        <v>0</v>
      </c>
    </row>
    <row r="17" spans="2:5">
      <c r="B17" s="1" t="s">
        <v>184</v>
      </c>
      <c r="C17" s="1"/>
      <c r="D17" s="1"/>
      <c r="E17" t="s">
        <v>215</v>
      </c>
    </row>
    <row r="18" spans="2:5">
      <c r="B18" s="1" t="s">
        <v>186</v>
      </c>
      <c r="C18" s="1"/>
      <c r="D18" s="1"/>
      <c r="E18" t="s">
        <v>216</v>
      </c>
    </row>
    <row r="19" spans="2:5">
      <c r="B19" s="1" t="s">
        <v>185</v>
      </c>
      <c r="C19" s="1"/>
      <c r="D19" s="1"/>
      <c r="E19" t="s">
        <v>214</v>
      </c>
    </row>
    <row r="20" spans="2:5">
      <c r="B20" s="1" t="s">
        <v>187</v>
      </c>
      <c r="C20" s="1"/>
      <c r="D20" s="1"/>
      <c r="E20" t="s">
        <v>217</v>
      </c>
    </row>
    <row r="21" spans="2:5">
      <c r="B21" s="1" t="s">
        <v>188</v>
      </c>
      <c r="C21" s="1"/>
      <c r="D21" s="1"/>
    </row>
    <row r="22" spans="2:5">
      <c r="B22" s="1" t="s">
        <v>189</v>
      </c>
      <c r="C22" s="1"/>
    </row>
    <row r="23" spans="2:5">
      <c r="B23" s="1" t="s">
        <v>190</v>
      </c>
      <c r="C23" s="1"/>
    </row>
    <row r="24" spans="2:5">
      <c r="B24" s="1"/>
      <c r="C24" s="1"/>
    </row>
    <row r="25" spans="2:5">
      <c r="B25" s="1"/>
      <c r="C25" s="1"/>
    </row>
    <row r="26" spans="2:5">
      <c r="B26" s="1"/>
      <c r="C26" s="1"/>
    </row>
  </sheetData>
  <pageMargins left="0.7" right="0.7" top="0.75" bottom="0.75" header="0.3" footer="0.3"/>
  <pageSetup paperSize="9" orientation="portrait" horizontalDpi="0" verticalDpi="0" r:id="rId1"/>
  <tableParts count="4">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D770-B576-4A26-A0D0-FA27788A94F9}">
  <sheetPr codeName="Sheet17"/>
  <dimension ref="B4:T18"/>
  <sheetViews>
    <sheetView showGridLines="0" workbookViewId="0"/>
  </sheetViews>
  <sheetFormatPr defaultRowHeight="14.4"/>
  <cols>
    <col min="1" max="1" width="2.88671875" customWidth="1"/>
    <col min="2" max="2" width="18" bestFit="1" customWidth="1"/>
    <col min="3" max="3" width="16.33203125" bestFit="1" customWidth="1"/>
    <col min="4" max="4" width="11.33203125" bestFit="1" customWidth="1"/>
    <col min="5" max="5" width="5.6640625" bestFit="1" customWidth="1"/>
    <col min="6" max="7" width="11.33203125" bestFit="1" customWidth="1"/>
    <col min="8" max="8" width="11" bestFit="1" customWidth="1"/>
    <col min="9" max="9" width="16.5546875" customWidth="1"/>
    <col min="10" max="10" width="18.5546875" customWidth="1"/>
    <col min="11" max="11" width="22.88671875" customWidth="1"/>
    <col min="12" max="12" width="12.33203125" bestFit="1" customWidth="1"/>
    <col min="13" max="13" width="10.33203125" bestFit="1" customWidth="1"/>
    <col min="14" max="14" width="12.88671875" bestFit="1" customWidth="1"/>
    <col min="15" max="15" width="26.6640625" customWidth="1"/>
    <col min="16" max="16" width="10.88671875" bestFit="1" customWidth="1"/>
    <col min="17" max="17" width="11.33203125" bestFit="1" customWidth="1"/>
    <col min="18" max="18" width="27.6640625" bestFit="1" customWidth="1"/>
    <col min="19" max="19" width="21.5546875" bestFit="1" customWidth="1"/>
    <col min="20" max="20" width="11.33203125" bestFit="1" customWidth="1"/>
    <col min="21" max="21" width="15.33203125" bestFit="1" customWidth="1"/>
    <col min="22" max="22" width="12.88671875" bestFit="1" customWidth="1"/>
    <col min="23" max="23" width="7.88671875" bestFit="1" customWidth="1"/>
    <col min="24" max="24" width="10.5546875" bestFit="1" customWidth="1"/>
    <col min="25" max="25" width="10.88671875" bestFit="1" customWidth="1"/>
    <col min="26" max="27" width="12.109375" bestFit="1" customWidth="1"/>
    <col min="28" max="28" width="11.33203125" bestFit="1" customWidth="1"/>
  </cols>
  <sheetData>
    <row r="4" spans="2:20" ht="21">
      <c r="B4" s="27" t="s">
        <v>199</v>
      </c>
    </row>
    <row r="6" spans="2:20" ht="15.6">
      <c r="B6" s="25" t="s">
        <v>197</v>
      </c>
      <c r="I6" s="26" t="s">
        <v>198</v>
      </c>
      <c r="J6" s="24"/>
      <c r="K6" s="24"/>
      <c r="O6" s="26" t="s">
        <v>200</v>
      </c>
      <c r="R6" s="25" t="s">
        <v>192</v>
      </c>
      <c r="S6" s="9"/>
      <c r="T6" s="9"/>
    </row>
    <row r="8" spans="2:20">
      <c r="B8" s="43" t="s">
        <v>196</v>
      </c>
      <c r="C8" s="43" t="s">
        <v>193</v>
      </c>
      <c r="D8" s="43"/>
      <c r="I8" s="43" t="s">
        <v>196</v>
      </c>
      <c r="J8" s="43" t="s">
        <v>193</v>
      </c>
      <c r="K8" s="43"/>
      <c r="O8" s="43" t="s">
        <v>195</v>
      </c>
      <c r="R8" t="s">
        <v>6</v>
      </c>
      <c r="S8" t="s">
        <v>182</v>
      </c>
      <c r="T8" t="s">
        <v>191</v>
      </c>
    </row>
    <row r="9" spans="2:20">
      <c r="B9" s="43" t="s">
        <v>195</v>
      </c>
      <c r="C9" s="43" t="s">
        <v>599</v>
      </c>
      <c r="D9" s="43" t="s">
        <v>194</v>
      </c>
      <c r="I9" s="43" t="s">
        <v>195</v>
      </c>
      <c r="J9" s="43" t="s">
        <v>599</v>
      </c>
      <c r="K9" s="43" t="s">
        <v>194</v>
      </c>
      <c r="O9" s="5" t="s">
        <v>0</v>
      </c>
      <c r="R9" t="s">
        <v>61</v>
      </c>
      <c r="S9">
        <f>COUNTIF(RiskAssessment[Risk Level],Table1[[#This Row],[Risk level]])</f>
        <v>0</v>
      </c>
      <c r="T9">
        <f>COUNTIF(RiskAssessment[Post-Treatment Risk Level],Table1[[#This Row],[Risk level]])</f>
        <v>8</v>
      </c>
    </row>
    <row r="10" spans="2:20">
      <c r="B10" s="5" t="s">
        <v>0</v>
      </c>
      <c r="C10" s="70">
        <v>20</v>
      </c>
      <c r="D10" s="70">
        <v>20</v>
      </c>
      <c r="I10" s="5" t="s">
        <v>261</v>
      </c>
      <c r="J10">
        <v>20</v>
      </c>
      <c r="K10">
        <v>20</v>
      </c>
      <c r="O10" s="101" t="s">
        <v>194</v>
      </c>
      <c r="R10" t="s">
        <v>62</v>
      </c>
      <c r="S10">
        <f>COUNTIF(RiskAssessment[Risk Level],Table1[[#This Row],[Risk level]])</f>
        <v>2</v>
      </c>
      <c r="T10">
        <f>COUNTIF(RiskAssessment[Post-Treatment Risk Level],Table1[[#This Row],[Risk level]])</f>
        <v>6</v>
      </c>
    </row>
    <row r="11" spans="2:20">
      <c r="B11" s="101" t="s">
        <v>194</v>
      </c>
      <c r="C11" s="103">
        <v>20</v>
      </c>
      <c r="D11" s="103">
        <v>20</v>
      </c>
      <c r="I11" s="101" t="s">
        <v>194</v>
      </c>
      <c r="J11" s="43">
        <v>20</v>
      </c>
      <c r="K11" s="43">
        <v>20</v>
      </c>
      <c r="R11" t="s">
        <v>63</v>
      </c>
      <c r="S11">
        <f>COUNTIF(RiskAssessment[Risk Level],Table1[[#This Row],[Risk level]])</f>
        <v>12</v>
      </c>
      <c r="T11">
        <f>COUNTIF(RiskAssessment[Post-Treatment Risk Level],Table1[[#This Row],[Risk level]])</f>
        <v>0</v>
      </c>
    </row>
    <row r="13" spans="2:20">
      <c r="R13" s="25" t="s">
        <v>203</v>
      </c>
    </row>
    <row r="15" spans="2:20">
      <c r="R15" s="43" t="s">
        <v>195</v>
      </c>
      <c r="S15" s="43" t="s">
        <v>204</v>
      </c>
    </row>
    <row r="16" spans="2:20">
      <c r="R16" s="5" t="s">
        <v>599</v>
      </c>
      <c r="S16">
        <v>0</v>
      </c>
    </row>
    <row r="17" spans="5:19">
      <c r="R17" s="101" t="s">
        <v>194</v>
      </c>
      <c r="S17" s="43">
        <v>0</v>
      </c>
    </row>
    <row r="18" spans="5:19">
      <c r="E18" s="24"/>
      <c r="F18" s="24"/>
      <c r="G18" s="24"/>
    </row>
  </sheetData>
  <sheetProtection selectLockedCells="1" selectUnlockedCells="1"/>
  <pageMargins left="0.7" right="0.7" top="0.75" bottom="0.75" header="0.3" footer="0.3"/>
  <pageSetup paperSize="9" orientation="portrait" horizontalDpi="0" verticalDpi="0"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08B4250-B95D-49BB-B3C5-3FC868E45619}">
  <ds:schemaRefs>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schemas.microsoft.com/office/2006/documentManagement/types"/>
    <ds:schemaRef ds:uri="f1cf04bc-9f60-4a9d-874f-9541ee77ebfe"/>
    <ds:schemaRef ds:uri="89244998-67c5-4bad-a13d-4acc63ad7b2f"/>
    <ds:schemaRef ds:uri="http://www.w3.org/XML/1998/namespace"/>
    <ds:schemaRef ds:uri="http://purl.org/dc/dcmitype/"/>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B0BF27F7-29FE-40C7-885D-152E9BA05D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ECB737B-7BDF-49F9-BFC9-A1EE92825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Guidance</vt: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ATV Risks</vt:lpstr>
      <vt:lpstr>Example Assets</vt:lpstr>
      <vt:lpstr>Example Threats</vt:lpstr>
      <vt:lpstr>Likelihood</vt:lpstr>
      <vt:lpstr>Impact</vt:lpstr>
      <vt:lpstr>Selection Tables</vt:lpstr>
      <vt:lpstr>Pivot tables</vt:lpstr>
      <vt:lpstr>NoRisksPre</vt:lpstr>
      <vt:lpstr>Guidance!Print_Area</vt:lpstr>
      <vt:lpstr>'Reference Controls'!Print_Area</vt:lpstr>
      <vt:lpstr>'Risk Assessment'!Print_Area</vt:lpstr>
      <vt:lpstr>'Example Assets'!Print_Titles</vt:lpstr>
      <vt:lpstr>'Example ATV Risks'!Print_Titles</vt:lpstr>
      <vt:lpstr>'Reference Controls'!Print_Titles</vt:lpstr>
      <vt:lpstr>'Risk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malak aldahoomah</dc:creator>
  <cp:lastModifiedBy>malak aldahoomah</cp:lastModifiedBy>
  <cp:lastPrinted>2021-04-08T15:32:27Z</cp:lastPrinted>
  <dcterms:created xsi:type="dcterms:W3CDTF">2015-06-05T18:17:20Z</dcterms:created>
  <dcterms:modified xsi:type="dcterms:W3CDTF">2026-09-20T17:12:48Z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1274300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